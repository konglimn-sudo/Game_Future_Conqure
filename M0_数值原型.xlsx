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参数" sheetId="2" state="visible" r:id="rId2"/>
    <sheet xmlns:r="http://schemas.openxmlformats.org/officeDocument/2006/relationships" name="情景A均衡" sheetId="3" state="visible" r:id="rId3"/>
    <sheet xmlns:r="http://schemas.openxmlformats.org/officeDocument/2006/relationships" name="情景B奇点" sheetId="4" state="visible" r:id="rId4"/>
    <sheet xmlns:r="http://schemas.openxmlformats.org/officeDocument/2006/relationships" name="情景C军备" sheetId="5" state="visible" r:id="rId5"/>
    <sheet xmlns:r="http://schemas.openxmlformats.org/officeDocument/2006/relationships" name="情景D科研" sheetId="6" state="visible" r:id="rId6"/>
    <sheet xmlns:r="http://schemas.openxmlformats.org/officeDocument/2006/relationships" name="对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b val="1"/>
      <sz val="12"/>
    </font>
    <font>
      <name val="Arial"/>
      <b val="1"/>
      <color rgb="00FFFFFF"/>
      <sz val="9"/>
    </font>
    <font>
      <name val="Arial"/>
    </font>
    <font>
      <name val="Arial"/>
      <color rgb="000000FF"/>
    </font>
    <font>
      <name val="Arial"/>
      <color rgb="00808080"/>
      <sz val="9"/>
    </font>
    <font>
      <name val="Arial"/>
      <b val="1"/>
      <sz val="13"/>
    </font>
    <font>
      <name val="Arial"/>
      <b val="1"/>
      <sz val="14"/>
    </font>
    <font>
      <name val="Arial"/>
      <color rgb="00008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1" fontId="6" fillId="0" borderId="0" pivotButton="0" quotePrefix="0" xfId="0"/>
    <xf numFmtId="0" fontId="7" fillId="0" borderId="0" pivotButton="0" quotePrefix="0" xfId="0"/>
    <xf numFmtId="164" fontId="6" fillId="0" borderId="0" pivotButton="0" quotePrefix="0" xfId="0"/>
    <xf numFmtId="9" fontId="6" fillId="0" borderId="0" pivotButton="0" quotePrefix="0" xfId="0"/>
    <xf numFmtId="0" fontId="8" fillId="0" borderId="0" pivotButton="0" quotePrefix="0" xfId="0"/>
    <xf numFmtId="1" fontId="5" fillId="0" borderId="1" pivotButton="0" quotePrefix="0" xfId="0"/>
    <xf numFmtId="9" fontId="6" fillId="0" borderId="1" pivotButton="0" quotePrefix="0" xfId="0"/>
    <xf numFmtId="9" fontId="5" fillId="0" borderId="1" pivotButton="0" quotePrefix="0" xfId="0"/>
    <xf numFmtId="2" fontId="5" fillId="0" borderId="1" pivotButton="0" quotePrefix="0" xfId="0"/>
    <xf numFmtId="0" fontId="5" fillId="0" borderId="1" pivotButton="0" quotePrefix="0" xfId="0"/>
    <xf numFmtId="0" fontId="9" fillId="0" borderId="0" pivotButton="0" quotePrefix="0" xfId="0"/>
    <xf numFmtId="9" fontId="10" fillId="0" borderId="1" pivotButton="0" quotePrefix="0" xfId="0"/>
    <xf numFmtId="1" fontId="10" fillId="0" borderId="1" pivotButton="0" quotePrefix="0" xfId="0"/>
    <xf numFmtId="2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军力指数走势</a:t>
            </a:r>
          </a:p>
        </rich>
      </tx>
    </title>
    <plotArea>
      <lineChart>
        <grouping val="standard"/>
        <ser>
          <idx val="0"/>
          <order val="0"/>
          <tx>
            <v>均衡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'情景A均衡'!$A$4:$A$23</f>
            </numRef>
          </cat>
          <val>
            <numRef>
              <f>'情景A均衡'!$AG$4:$AG$23</f>
            </numRef>
          </val>
        </ser>
        <ser>
          <idx val="1"/>
          <order val="1"/>
          <tx>
            <v>奇点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'情景A均衡'!$A$4:$A$23</f>
            </numRef>
          </cat>
          <val>
            <numRef>
              <f>'情景B奇点'!$AG$4:$AG$23</f>
            </numRef>
          </val>
        </ser>
        <ser>
          <idx val="2"/>
          <order val="2"/>
          <tx>
            <v>军备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'情景A均衡'!$A$4:$A$23</f>
            </numRef>
          </cat>
          <val>
            <numRef>
              <f>'情景C军备'!$AG$4:$AG$23</f>
            </numRef>
          </val>
        </ser>
        <ser>
          <idx val="3"/>
          <order val="3"/>
          <tx>
            <v>科研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'情景A均衡'!$A$4:$A$23</f>
            </numRef>
          </cat>
          <val>
            <numRef>
              <f>'情景D科研'!$AG$4:$AG$23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回合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军力指数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累积训练进度（代际竞赛）</a:t>
            </a:r>
          </a:p>
        </rich>
      </tx>
    </title>
    <plotArea>
      <lineChart>
        <grouping val="standard"/>
        <ser>
          <idx val="0"/>
          <order val="0"/>
          <tx>
            <v>均衡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'情景A均衡'!$A$4:$A$23</f>
            </numRef>
          </cat>
          <val>
            <numRef>
              <f>'情景A均衡'!$R$4:$R$23</f>
            </numRef>
          </val>
        </ser>
        <ser>
          <idx val="1"/>
          <order val="1"/>
          <tx>
            <v>奇点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'情景A均衡'!$A$4:$A$23</f>
            </numRef>
          </cat>
          <val>
            <numRef>
              <f>'情景B奇点'!$R$4:$R$23</f>
            </numRef>
          </val>
        </ser>
        <ser>
          <idx val="2"/>
          <order val="2"/>
          <tx>
            <v>军备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'情景A均衡'!$A$4:$A$23</f>
            </numRef>
          </cat>
          <val>
            <numRef>
              <f>'情景C军备'!$R$4:$R$23</f>
            </numRef>
          </val>
        </ser>
        <ser>
          <idx val="3"/>
          <order val="3"/>
          <tx>
            <v>科研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'情景A均衡'!$A$4:$A$23</f>
            </numRef>
          </cat>
          <val>
            <numRef>
              <f>'情景D科研'!$R$4:$R$23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回合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累积训练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实际算力（注意电力墙）</a:t>
            </a:r>
          </a:p>
        </rich>
      </tx>
    </title>
    <plotArea>
      <lineChart>
        <grouping val="standard"/>
        <ser>
          <idx val="0"/>
          <order val="0"/>
          <tx>
            <v>均衡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'情景A均衡'!$A$4:$A$23</f>
            </numRef>
          </cat>
          <val>
            <numRef>
              <f>'情景A均衡'!$J$4:$J$23</f>
            </numRef>
          </val>
        </ser>
        <ser>
          <idx val="1"/>
          <order val="1"/>
          <tx>
            <v>奇点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'情景A均衡'!$A$4:$A$23</f>
            </numRef>
          </cat>
          <val>
            <numRef>
              <f>'情景B奇点'!$J$4:$J$23</f>
            </numRef>
          </val>
        </ser>
        <ser>
          <idx val="2"/>
          <order val="2"/>
          <tx>
            <v>军备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'情景A均衡'!$A$4:$A$23</f>
            </numRef>
          </cat>
          <val>
            <numRef>
              <f>'情景C军备'!$J$4:$J$23</f>
            </numRef>
          </val>
        </ser>
        <ser>
          <idx val="3"/>
          <order val="3"/>
          <tx>
            <v>科研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'情景A均衡'!$A$4:$A$23</f>
            </numRef>
          </cat>
          <val>
            <numRef>
              <f>'情景D科研'!$J$4:$J$23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回合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实际算力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经济系数（推理饥饿的代价）</a:t>
            </a:r>
          </a:p>
        </rich>
      </tx>
    </title>
    <plotArea>
      <lineChart>
        <grouping val="standard"/>
        <ser>
          <idx val="0"/>
          <order val="0"/>
          <tx>
            <v>均衡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'情景A均衡'!$A$4:$A$23</f>
            </numRef>
          </cat>
          <val>
            <numRef>
              <f>'情景A均衡'!$AA$4:$AA$23</f>
            </numRef>
          </val>
        </ser>
        <ser>
          <idx val="1"/>
          <order val="1"/>
          <tx>
            <v>奇点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'情景A均衡'!$A$4:$A$23</f>
            </numRef>
          </cat>
          <val>
            <numRef>
              <f>'情景B奇点'!$AA$4:$AA$23</f>
            </numRef>
          </val>
        </ser>
        <ser>
          <idx val="2"/>
          <order val="2"/>
          <tx>
            <v>军备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'情景A均衡'!$A$4:$A$23</f>
            </numRef>
          </cat>
          <val>
            <numRef>
              <f>'情景C军备'!$AA$4:$AA$23</f>
            </numRef>
          </val>
        </ser>
        <ser>
          <idx val="3"/>
          <order val="3"/>
          <tx>
            <v>科研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'情景A均衡'!$A$4:$A$23</f>
            </numRef>
          </cat>
          <val>
            <numRef>
              <f>'情景D科研'!$AA$4:$AA$23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回合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经济系数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61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61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26</row>
      <rowOff>0</rowOff>
    </from>
    <ext cx="61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《Future Conquer》M0 数值原型</t>
        </is>
      </c>
    </row>
    <row r="2">
      <c r="A2" s="2" t="inlineStr"/>
    </row>
    <row r="3">
      <c r="A3" s="2" t="inlineStr">
        <is>
          <t>目的：验证设计文档第 2 节的核心机制——算力三通道分配（训练/推理/研发）的取舍是否『有感觉』。</t>
        </is>
      </c>
    </row>
    <row r="4">
      <c r="A4" s="2" t="inlineStr">
        <is>
          <t>模型为单势力自循环，刻意不含战斗、外交、轨道层（那些属于 M2+）。</t>
        </is>
      </c>
    </row>
    <row r="5">
      <c r="A5" s="2" t="inlineStr"/>
    </row>
    <row r="6">
      <c r="A6" s="3" t="inlineStr">
        <is>
          <t>怎么用：</t>
        </is>
      </c>
    </row>
    <row r="7">
      <c r="A7" s="2" t="inlineStr">
        <is>
          <t>· 蓝色单元格 = 可修改的输入：『参数』表全部数值；各情景表的 训练%/推理%（研发% 自动 = 1 - 两者，逐回合可调）。</t>
        </is>
      </c>
    </row>
    <row r="8">
      <c r="A8" s="2" t="inlineStr">
        <is>
          <t>· 修改后用 Excel/Numbers/LibreOffice 打开会自动重算；『对比』表汇总四种策略的关键指标与走势图。</t>
        </is>
      </c>
    </row>
    <row r="9">
      <c r="A9" s="2" t="inlineStr"/>
    </row>
    <row r="10">
      <c r="A10" s="3" t="inlineStr">
        <is>
          <t>模型简化假设：</t>
        </is>
      </c>
    </row>
    <row r="11">
      <c r="A11" s="2" t="inlineStr">
        <is>
          <t>· 芯片每回合自动投资数据中心扩容（受投资上限约束），扩容次回合生效。</t>
        </is>
      </c>
    </row>
    <row r="12">
      <c r="A12" s="2" t="inlineStr">
        <is>
          <t>· 推理需求随版图扩张线性增长；推理供给率不足会压低经济系数，拖累芯片/数据产出（滞后一回合）。</t>
        </is>
      </c>
    </row>
    <row r="13">
      <c r="A13" s="2" t="inlineStr">
        <is>
          <t>· 科技等级提升芯片与数据产出；代际提升算力效率系数与军力。</t>
        </is>
      </c>
    </row>
    <row r="14">
      <c r="A14" s="2" t="inlineStr"/>
    </row>
    <row r="15">
      <c r="A15" s="3" t="inlineStr">
        <is>
          <t>验收观察点（M0 通过标准）：</t>
        </is>
      </c>
    </row>
    <row r="16">
      <c r="A16" s="2" t="inlineStr">
        <is>
          <t>1. 电力墙：中后期『⚡受限』出现，算力被电力供给锁死 → 验证『电力是上限约束』。</t>
        </is>
      </c>
    </row>
    <row r="17">
      <c r="A17" s="2" t="inlineStr">
        <is>
          <t>2. 数据弹药：奇点冲刺流的训练数据满足率跌破 100% → 验证『数据是训练瓶颈』。</t>
        </is>
      </c>
    </row>
    <row r="18">
      <c r="A18" s="2" t="inlineStr">
        <is>
          <t>3. 推理饥饿：奇点流经济系数走低，产能被拖累 → 抽算力冲代际的代价当回合可见。</t>
        </is>
      </c>
    </row>
    <row r="19">
      <c r="A19" s="2" t="inlineStr">
        <is>
          <t>4. 军备 vs 代际：军备流军力先发优势明显；20 回合内奇点流军力难以反超 → 印证奇点路线需要外交/隐蔽保护期（设计文档 6.3、7 章）。</t>
        </is>
      </c>
    </row>
    <row r="20">
      <c r="A20" s="2" t="inlineStr"/>
    </row>
    <row r="21">
      <c r="A21" s="2" t="inlineStr">
        <is>
          <t>若以上四条都能在数值上看到，且改动参数能明显改变格局，M0 验收通过，进入 M1（Godot 经济沙盒）。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34" customWidth="1" min="3" max="3"/>
  </cols>
  <sheetData>
    <row r="1">
      <c r="A1" s="4" t="inlineStr">
        <is>
          <t>参数</t>
        </is>
      </c>
      <c r="B1" s="4" t="inlineStr">
        <is>
          <t>值</t>
        </is>
      </c>
      <c r="C1" s="4" t="inlineStr">
        <is>
          <t>说明</t>
        </is>
      </c>
    </row>
    <row r="2">
      <c r="A2" s="5" t="inlineStr">
        <is>
          <t>初始电力供给</t>
        </is>
      </c>
      <c r="B2" s="6" t="n">
        <v>100</v>
      </c>
      <c r="C2" s="7" t="inlineStr">
        <is>
          <t>电力/回合，决定算力上限</t>
        </is>
      </c>
    </row>
    <row r="3">
      <c r="A3" s="5" t="inlineStr">
        <is>
          <t>电力每回合增长</t>
        </is>
      </c>
      <c r="B3" s="6" t="n">
        <v>6</v>
      </c>
      <c r="C3" s="7" t="inlineStr">
        <is>
          <t>电网建设速度</t>
        </is>
      </c>
    </row>
    <row r="4">
      <c r="A4" s="5" t="inlineStr">
        <is>
          <t>每点算力耗电</t>
        </is>
      </c>
      <c r="B4" s="6" t="n">
        <v>1</v>
      </c>
      <c r="C4" s="7" t="inlineStr">
        <is>
          <t>电力→算力转换</t>
        </is>
      </c>
    </row>
    <row r="5">
      <c r="A5" s="5" t="inlineStr">
        <is>
          <t>初始数据中心容量</t>
        </is>
      </c>
      <c r="B5" s="6" t="n">
        <v>60</v>
      </c>
      <c r="C5" s="7" t="inlineStr">
        <is>
          <t>算力点</t>
        </is>
      </c>
    </row>
    <row r="6">
      <c r="A6" s="5" t="inlineStr">
        <is>
          <t>新建容量芯片成本</t>
        </is>
      </c>
      <c r="B6" s="6" t="n">
        <v>2</v>
      </c>
      <c r="C6" s="7" t="inlineStr">
        <is>
          <t>芯片/算力点</t>
        </is>
      </c>
    </row>
    <row r="7">
      <c r="A7" s="5" t="inlineStr">
        <is>
          <t>每回合芯片投资上限</t>
        </is>
      </c>
      <c r="B7" s="6" t="n">
        <v>20</v>
      </c>
      <c r="C7" s="7" t="inlineStr">
        <is>
          <t>建造产能瓶颈</t>
        </is>
      </c>
    </row>
    <row r="8">
      <c r="A8" s="5" t="inlineStr">
        <is>
          <t>初始芯片库存</t>
        </is>
      </c>
      <c r="B8" s="6" t="n">
        <v>30</v>
      </c>
      <c r="C8" s="7" t="inlineStr"/>
    </row>
    <row r="9">
      <c r="A9" s="5" t="inlineStr">
        <is>
          <t>晶圆厂基础芯片产出</t>
        </is>
      </c>
      <c r="B9" s="6" t="n">
        <v>10</v>
      </c>
      <c r="C9" s="7" t="inlineStr">
        <is>
          <t>芯片/回合</t>
        </is>
      </c>
    </row>
    <row r="10">
      <c r="A10" s="5" t="inlineStr">
        <is>
          <t>区域数</t>
        </is>
      </c>
      <c r="B10" s="6" t="n">
        <v>6</v>
      </c>
      <c r="C10" s="7" t="inlineStr">
        <is>
          <t>版图规模</t>
        </is>
      </c>
    </row>
    <row r="11">
      <c r="A11" s="5" t="inlineStr">
        <is>
          <t>每区域数据产出</t>
        </is>
      </c>
      <c r="B11" s="6" t="n">
        <v>12</v>
      </c>
      <c r="C11" s="7" t="inlineStr">
        <is>
          <t>数据/回合</t>
        </is>
      </c>
    </row>
    <row r="12">
      <c r="A12" s="5" t="inlineStr">
        <is>
          <t>初始数据池</t>
        </is>
      </c>
      <c r="B12" s="6" t="n">
        <v>60</v>
      </c>
      <c r="C12" s="7" t="inlineStr"/>
    </row>
    <row r="13">
      <c r="A13" s="5" t="inlineStr">
        <is>
          <t>训练每算力耗数据</t>
        </is>
      </c>
      <c r="B13" s="8" t="n">
        <v>0.8</v>
      </c>
      <c r="C13" s="7" t="inlineStr">
        <is>
          <t>数据是训练弹药</t>
        </is>
      </c>
    </row>
    <row r="14">
      <c r="A14" s="5" t="inlineStr">
        <is>
          <t>Gen2 门槛（累积训练）</t>
        </is>
      </c>
      <c r="B14" s="6" t="n">
        <v>400</v>
      </c>
      <c r="C14" s="7" t="inlineStr"/>
    </row>
    <row r="15">
      <c r="A15" s="5" t="inlineStr">
        <is>
          <t>Gen3 门槛</t>
        </is>
      </c>
      <c r="B15" s="6" t="n">
        <v>900</v>
      </c>
      <c r="C15" s="7" t="inlineStr"/>
    </row>
    <row r="16">
      <c r="A16" s="5" t="inlineStr">
        <is>
          <t>Gen4 门槛</t>
        </is>
      </c>
      <c r="B16" s="6" t="n">
        <v>1800</v>
      </c>
      <c r="C16" s="7" t="inlineStr"/>
    </row>
    <row r="17">
      <c r="A17" s="5" t="inlineStr">
        <is>
          <t>每代际能力系数增量</t>
        </is>
      </c>
      <c r="B17" s="8" t="n">
        <v>0.4</v>
      </c>
      <c r="C17" s="7" t="inlineStr">
        <is>
          <t>代际→算力效率与军力乘数</t>
        </is>
      </c>
    </row>
    <row r="18">
      <c r="A18" s="5" t="inlineStr">
        <is>
          <t>科技每级门槛（科技点）</t>
        </is>
      </c>
      <c r="B18" s="6" t="n">
        <v>80</v>
      </c>
      <c r="C18" s="7" t="inlineStr"/>
    </row>
    <row r="19">
      <c r="A19" s="5" t="inlineStr">
        <is>
          <t>科技每级产出加成</t>
        </is>
      </c>
      <c r="B19" s="9" t="n">
        <v>0.05</v>
      </c>
      <c r="C19" s="7" t="inlineStr">
        <is>
          <t>作用于芯片与数据产出</t>
        </is>
      </c>
    </row>
    <row r="20">
      <c r="A20" s="5" t="inlineStr">
        <is>
          <t>推理基础需求</t>
        </is>
      </c>
      <c r="B20" s="6" t="n">
        <v>30</v>
      </c>
      <c r="C20" s="7" t="inlineStr">
        <is>
          <t>维持现有版图与部队</t>
        </is>
      </c>
    </row>
    <row r="21">
      <c r="A21" s="5" t="inlineStr">
        <is>
          <t>推理需求每回合增长</t>
        </is>
      </c>
      <c r="B21" s="6" t="n">
        <v>3</v>
      </c>
      <c r="C21" s="7" t="inlineStr">
        <is>
          <t>版图扩张带来的需求</t>
        </is>
      </c>
    </row>
    <row r="22">
      <c r="A22" s="5" t="inlineStr">
        <is>
          <t>经济系数底线</t>
        </is>
      </c>
      <c r="B22" s="8" t="n">
        <v>0.5</v>
      </c>
      <c r="C22" s="7" t="inlineStr">
        <is>
          <t>推理完全断供时产出打五折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8.5" customWidth="1" min="32" max="32"/>
    <col width="8.5" customWidth="1" min="33" max="33"/>
  </cols>
  <sheetData>
    <row r="1">
      <c r="A1" s="10" t="inlineStr">
        <is>
          <t>情景A均衡 —— 均衡流：三通道大致均分（训练 34% / 推理 33% / 研发 33%）</t>
        </is>
      </c>
    </row>
    <row r="2">
      <c r="A2" s="7" t="inlineStr">
        <is>
          <t>蓝色列逐回合可调；其余全部为公式</t>
        </is>
      </c>
    </row>
    <row r="3" ht="30" customHeight="1">
      <c r="A3" s="4" t="inlineStr">
        <is>
          <t>回合</t>
        </is>
      </c>
      <c r="B3" s="4" t="inlineStr">
        <is>
          <t>训练%</t>
        </is>
      </c>
      <c r="C3" s="4" t="inlineStr">
        <is>
          <t>推理%</t>
        </is>
      </c>
      <c r="D3" s="4" t="inlineStr">
        <is>
          <t>研发%
(自动)</t>
        </is>
      </c>
      <c r="E3" s="4" t="inlineStr">
        <is>
          <t>电力
供给</t>
        </is>
      </c>
      <c r="F3" s="4" t="inlineStr">
        <is>
          <t>数据中心
容量</t>
        </is>
      </c>
      <c r="G3" s="4" t="inlineStr">
        <is>
          <t>代际
系数</t>
        </is>
      </c>
      <c r="H3" s="4" t="inlineStr">
        <is>
          <t>理论
算力</t>
        </is>
      </c>
      <c r="I3" s="4" t="inlineStr">
        <is>
          <t>电力上限
算力</t>
        </is>
      </c>
      <c r="J3" s="4" t="inlineStr">
        <is>
          <t>实际
算力</t>
        </is>
      </c>
      <c r="K3" s="4" t="inlineStr">
        <is>
          <t>电力
受限</t>
        </is>
      </c>
      <c r="L3" s="4" t="inlineStr">
        <is>
          <t>训练
算力</t>
        </is>
      </c>
      <c r="M3" s="4" t="inlineStr">
        <is>
          <t>数据
产出</t>
        </is>
      </c>
      <c r="N3" s="4" t="inlineStr">
        <is>
          <t>可用
数据</t>
        </is>
      </c>
      <c r="O3" s="4" t="inlineStr">
        <is>
          <t>训练需
数据</t>
        </is>
      </c>
      <c r="P3" s="4" t="inlineStr">
        <is>
          <t>数据
满足率</t>
        </is>
      </c>
      <c r="Q3" s="4" t="inlineStr">
        <is>
          <t>有效
训练</t>
        </is>
      </c>
      <c r="R3" s="4" t="inlineStr">
        <is>
          <t>累积
训练</t>
        </is>
      </c>
      <c r="S3" s="4" t="inlineStr">
        <is>
          <t>代际</t>
        </is>
      </c>
      <c r="T3" s="4" t="inlineStr">
        <is>
          <t>数据池
余量</t>
        </is>
      </c>
      <c r="U3" s="4" t="inlineStr">
        <is>
          <t>研发
算力</t>
        </is>
      </c>
      <c r="V3" s="4" t="inlineStr">
        <is>
          <t>科技点</t>
        </is>
      </c>
      <c r="W3" s="4" t="inlineStr">
        <is>
          <t>科技
等级</t>
        </is>
      </c>
      <c r="X3" s="4" t="inlineStr">
        <is>
          <t>推理
算力</t>
        </is>
      </c>
      <c r="Y3" s="4" t="inlineStr">
        <is>
          <t>推理
需求</t>
        </is>
      </c>
      <c r="Z3" s="4" t="inlineStr">
        <is>
          <t>推理
供给率</t>
        </is>
      </c>
      <c r="AA3" s="4" t="inlineStr">
        <is>
          <t>经济
系数</t>
        </is>
      </c>
      <c r="AB3" s="4" t="inlineStr">
        <is>
          <t>芯片
产出</t>
        </is>
      </c>
      <c r="AC3" s="4" t="inlineStr">
        <is>
          <t>芯片
可用</t>
        </is>
      </c>
      <c r="AD3" s="4" t="inlineStr">
        <is>
          <t>芯片
投资</t>
        </is>
      </c>
      <c r="AE3" s="4" t="inlineStr">
        <is>
          <t>新增容量
(次回合)</t>
        </is>
      </c>
      <c r="AF3" s="4" t="inlineStr">
        <is>
          <t>芯片
库存</t>
        </is>
      </c>
      <c r="AG3" s="4" t="inlineStr">
        <is>
          <t>军力
指数</t>
        </is>
      </c>
    </row>
    <row r="4">
      <c r="A4" s="11" t="n">
        <v>1</v>
      </c>
      <c r="B4" s="12" t="n">
        <v>0.34</v>
      </c>
      <c r="C4" s="12" t="n">
        <v>0.33</v>
      </c>
      <c r="D4" s="13">
        <f>1-B4-C4</f>
        <v/>
      </c>
      <c r="E4" s="11">
        <f>参数!$B$2+参数!$B$3*(A4-1)</f>
        <v/>
      </c>
      <c r="F4" s="11">
        <f>参数!$B$5</f>
        <v/>
      </c>
      <c r="G4" s="14">
        <f>1</f>
        <v/>
      </c>
      <c r="H4" s="11">
        <f>F4*G4</f>
        <v/>
      </c>
      <c r="I4" s="11">
        <f>E4/参数!$B$4</f>
        <v/>
      </c>
      <c r="J4" s="11">
        <f>MIN(H4,I4)</f>
        <v/>
      </c>
      <c r="K4" s="15">
        <f>IF(I4&lt;H4,"⚡受限","")</f>
        <v/>
      </c>
      <c r="L4" s="11">
        <f>J4*B4</f>
        <v/>
      </c>
      <c r="M4" s="11">
        <f>参数!$B$10*参数!$B$11</f>
        <v/>
      </c>
      <c r="N4" s="11">
        <f>参数!$B$12+M4</f>
        <v/>
      </c>
      <c r="O4" s="11">
        <f>L4*参数!$B$13</f>
        <v/>
      </c>
      <c r="P4" s="13">
        <f>IF(O4=0,1,MIN(1,N4/O4))</f>
        <v/>
      </c>
      <c r="Q4" s="11">
        <f>L4*P4</f>
        <v/>
      </c>
      <c r="R4" s="11">
        <f>Q4</f>
        <v/>
      </c>
      <c r="S4" s="11">
        <f>1+IF(R4&gt;=参数!$B$14,1,0)+IF(R4&gt;=参数!$B$15,1,0)+IF(R4&gt;=参数!$B$16,1,0)</f>
        <v/>
      </c>
      <c r="T4" s="11">
        <f>N4-O4*P4</f>
        <v/>
      </c>
      <c r="U4" s="11">
        <f>J4*D4</f>
        <v/>
      </c>
      <c r="V4" s="11">
        <f>U4</f>
        <v/>
      </c>
      <c r="W4" s="11">
        <f>INT(V4/参数!$B$18)</f>
        <v/>
      </c>
      <c r="X4" s="11">
        <f>J4*C4</f>
        <v/>
      </c>
      <c r="Y4" s="11">
        <f>参数!$B$20+参数!$B$21*(A4-1)</f>
        <v/>
      </c>
      <c r="Z4" s="13">
        <f>MIN(1,X4/Y4)</f>
        <v/>
      </c>
      <c r="AA4" s="14">
        <f>参数!$B$22+(1-参数!$B$22)*Z4</f>
        <v/>
      </c>
      <c r="AB4" s="11">
        <f>参数!$B$9</f>
        <v/>
      </c>
      <c r="AC4" s="11">
        <f>参数!$B$8+AB4</f>
        <v/>
      </c>
      <c r="AD4" s="11">
        <f>MIN(AC4,参数!$B$7)</f>
        <v/>
      </c>
      <c r="AE4" s="11">
        <f>AD4/参数!$B$6</f>
        <v/>
      </c>
      <c r="AF4" s="11">
        <f>AC4-AD4</f>
        <v/>
      </c>
      <c r="AG4" s="11">
        <f>X4*G4</f>
        <v/>
      </c>
    </row>
    <row r="5">
      <c r="A5" s="11" t="n">
        <v>2</v>
      </c>
      <c r="B5" s="12" t="n">
        <v>0.34</v>
      </c>
      <c r="C5" s="12" t="n">
        <v>0.33</v>
      </c>
      <c r="D5" s="13">
        <f>1-B5-C5</f>
        <v/>
      </c>
      <c r="E5" s="11">
        <f>参数!$B$2+参数!$B$3*(A5-1)</f>
        <v/>
      </c>
      <c r="F5" s="11">
        <f>F4+AE4</f>
        <v/>
      </c>
      <c r="G5" s="14">
        <f>1+参数!$B$17*(S4-1)</f>
        <v/>
      </c>
      <c r="H5" s="11">
        <f>F5*G5</f>
        <v/>
      </c>
      <c r="I5" s="11">
        <f>E5/参数!$B$4</f>
        <v/>
      </c>
      <c r="J5" s="11">
        <f>MIN(H5,I5)</f>
        <v/>
      </c>
      <c r="K5" s="15">
        <f>IF(I5&lt;H5,"⚡受限","")</f>
        <v/>
      </c>
      <c r="L5" s="11">
        <f>J5*B5</f>
        <v/>
      </c>
      <c r="M5" s="11">
        <f>参数!$B$10*参数!$B$11*(1+参数!$B$19*W4)*AA4</f>
        <v/>
      </c>
      <c r="N5" s="11">
        <f>T4+M5</f>
        <v/>
      </c>
      <c r="O5" s="11">
        <f>L5*参数!$B$13</f>
        <v/>
      </c>
      <c r="P5" s="13">
        <f>IF(O5=0,1,MIN(1,N5/O5))</f>
        <v/>
      </c>
      <c r="Q5" s="11">
        <f>L5*P5</f>
        <v/>
      </c>
      <c r="R5" s="11">
        <f>R4+Q5</f>
        <v/>
      </c>
      <c r="S5" s="11">
        <f>1+IF(R5&gt;=参数!$B$14,1,0)+IF(R5&gt;=参数!$B$15,1,0)+IF(R5&gt;=参数!$B$16,1,0)</f>
        <v/>
      </c>
      <c r="T5" s="11">
        <f>N5-O5*P5</f>
        <v/>
      </c>
      <c r="U5" s="11">
        <f>J5*D5</f>
        <v/>
      </c>
      <c r="V5" s="11">
        <f>V4+U5</f>
        <v/>
      </c>
      <c r="W5" s="11">
        <f>INT(V5/参数!$B$18)</f>
        <v/>
      </c>
      <c r="X5" s="11">
        <f>J5*C5</f>
        <v/>
      </c>
      <c r="Y5" s="11">
        <f>参数!$B$20+参数!$B$21*(A5-1)</f>
        <v/>
      </c>
      <c r="Z5" s="13">
        <f>MIN(1,X5/Y5)</f>
        <v/>
      </c>
      <c r="AA5" s="14">
        <f>参数!$B$22+(1-参数!$B$22)*Z5</f>
        <v/>
      </c>
      <c r="AB5" s="11">
        <f>参数!$B$9*(1+参数!$B$19*W4)*AA4</f>
        <v/>
      </c>
      <c r="AC5" s="11">
        <f>AF4+AB5</f>
        <v/>
      </c>
      <c r="AD5" s="11">
        <f>MIN(AC5,参数!$B$7)</f>
        <v/>
      </c>
      <c r="AE5" s="11">
        <f>AD5/参数!$B$6</f>
        <v/>
      </c>
      <c r="AF5" s="11">
        <f>AC5-AD5</f>
        <v/>
      </c>
      <c r="AG5" s="11">
        <f>X5*G5</f>
        <v/>
      </c>
    </row>
    <row r="6">
      <c r="A6" s="11" t="n">
        <v>3</v>
      </c>
      <c r="B6" s="12" t="n">
        <v>0.34</v>
      </c>
      <c r="C6" s="12" t="n">
        <v>0.33</v>
      </c>
      <c r="D6" s="13">
        <f>1-B6-C6</f>
        <v/>
      </c>
      <c r="E6" s="11">
        <f>参数!$B$2+参数!$B$3*(A6-1)</f>
        <v/>
      </c>
      <c r="F6" s="11">
        <f>F5+AE5</f>
        <v/>
      </c>
      <c r="G6" s="14">
        <f>1+参数!$B$17*(S5-1)</f>
        <v/>
      </c>
      <c r="H6" s="11">
        <f>F6*G6</f>
        <v/>
      </c>
      <c r="I6" s="11">
        <f>E6/参数!$B$4</f>
        <v/>
      </c>
      <c r="J6" s="11">
        <f>MIN(H6,I6)</f>
        <v/>
      </c>
      <c r="K6" s="15">
        <f>IF(I6&lt;H6,"⚡受限","")</f>
        <v/>
      </c>
      <c r="L6" s="11">
        <f>J6*B6</f>
        <v/>
      </c>
      <c r="M6" s="11">
        <f>参数!$B$10*参数!$B$11*(1+参数!$B$19*W5)*AA5</f>
        <v/>
      </c>
      <c r="N6" s="11">
        <f>T5+M6</f>
        <v/>
      </c>
      <c r="O6" s="11">
        <f>L6*参数!$B$13</f>
        <v/>
      </c>
      <c r="P6" s="13">
        <f>IF(O6=0,1,MIN(1,N6/O6))</f>
        <v/>
      </c>
      <c r="Q6" s="11">
        <f>L6*P6</f>
        <v/>
      </c>
      <c r="R6" s="11">
        <f>R5+Q6</f>
        <v/>
      </c>
      <c r="S6" s="11">
        <f>1+IF(R6&gt;=参数!$B$14,1,0)+IF(R6&gt;=参数!$B$15,1,0)+IF(R6&gt;=参数!$B$16,1,0)</f>
        <v/>
      </c>
      <c r="T6" s="11">
        <f>N6-O6*P6</f>
        <v/>
      </c>
      <c r="U6" s="11">
        <f>J6*D6</f>
        <v/>
      </c>
      <c r="V6" s="11">
        <f>V5+U6</f>
        <v/>
      </c>
      <c r="W6" s="11">
        <f>INT(V6/参数!$B$18)</f>
        <v/>
      </c>
      <c r="X6" s="11">
        <f>J6*C6</f>
        <v/>
      </c>
      <c r="Y6" s="11">
        <f>参数!$B$20+参数!$B$21*(A6-1)</f>
        <v/>
      </c>
      <c r="Z6" s="13">
        <f>MIN(1,X6/Y6)</f>
        <v/>
      </c>
      <c r="AA6" s="14">
        <f>参数!$B$22+(1-参数!$B$22)*Z6</f>
        <v/>
      </c>
      <c r="AB6" s="11">
        <f>参数!$B$9*(1+参数!$B$19*W5)*AA5</f>
        <v/>
      </c>
      <c r="AC6" s="11">
        <f>AF5+AB6</f>
        <v/>
      </c>
      <c r="AD6" s="11">
        <f>MIN(AC6,参数!$B$7)</f>
        <v/>
      </c>
      <c r="AE6" s="11">
        <f>AD6/参数!$B$6</f>
        <v/>
      </c>
      <c r="AF6" s="11">
        <f>AC6-AD6</f>
        <v/>
      </c>
      <c r="AG6" s="11">
        <f>X6*G6</f>
        <v/>
      </c>
    </row>
    <row r="7">
      <c r="A7" s="11" t="n">
        <v>4</v>
      </c>
      <c r="B7" s="12" t="n">
        <v>0.34</v>
      </c>
      <c r="C7" s="12" t="n">
        <v>0.33</v>
      </c>
      <c r="D7" s="13">
        <f>1-B7-C7</f>
        <v/>
      </c>
      <c r="E7" s="11">
        <f>参数!$B$2+参数!$B$3*(A7-1)</f>
        <v/>
      </c>
      <c r="F7" s="11">
        <f>F6+AE6</f>
        <v/>
      </c>
      <c r="G7" s="14">
        <f>1+参数!$B$17*(S6-1)</f>
        <v/>
      </c>
      <c r="H7" s="11">
        <f>F7*G7</f>
        <v/>
      </c>
      <c r="I7" s="11">
        <f>E7/参数!$B$4</f>
        <v/>
      </c>
      <c r="J7" s="11">
        <f>MIN(H7,I7)</f>
        <v/>
      </c>
      <c r="K7" s="15">
        <f>IF(I7&lt;H7,"⚡受限","")</f>
        <v/>
      </c>
      <c r="L7" s="11">
        <f>J7*B7</f>
        <v/>
      </c>
      <c r="M7" s="11">
        <f>参数!$B$10*参数!$B$11*(1+参数!$B$19*W6)*AA6</f>
        <v/>
      </c>
      <c r="N7" s="11">
        <f>T6+M7</f>
        <v/>
      </c>
      <c r="O7" s="11">
        <f>L7*参数!$B$13</f>
        <v/>
      </c>
      <c r="P7" s="13">
        <f>IF(O7=0,1,MIN(1,N7/O7))</f>
        <v/>
      </c>
      <c r="Q7" s="11">
        <f>L7*P7</f>
        <v/>
      </c>
      <c r="R7" s="11">
        <f>R6+Q7</f>
        <v/>
      </c>
      <c r="S7" s="11">
        <f>1+IF(R7&gt;=参数!$B$14,1,0)+IF(R7&gt;=参数!$B$15,1,0)+IF(R7&gt;=参数!$B$16,1,0)</f>
        <v/>
      </c>
      <c r="T7" s="11">
        <f>N7-O7*P7</f>
        <v/>
      </c>
      <c r="U7" s="11">
        <f>J7*D7</f>
        <v/>
      </c>
      <c r="V7" s="11">
        <f>V6+U7</f>
        <v/>
      </c>
      <c r="W7" s="11">
        <f>INT(V7/参数!$B$18)</f>
        <v/>
      </c>
      <c r="X7" s="11">
        <f>J7*C7</f>
        <v/>
      </c>
      <c r="Y7" s="11">
        <f>参数!$B$20+参数!$B$21*(A7-1)</f>
        <v/>
      </c>
      <c r="Z7" s="13">
        <f>MIN(1,X7/Y7)</f>
        <v/>
      </c>
      <c r="AA7" s="14">
        <f>参数!$B$22+(1-参数!$B$22)*Z7</f>
        <v/>
      </c>
      <c r="AB7" s="11">
        <f>参数!$B$9*(1+参数!$B$19*W6)*AA6</f>
        <v/>
      </c>
      <c r="AC7" s="11">
        <f>AF6+AB7</f>
        <v/>
      </c>
      <c r="AD7" s="11">
        <f>MIN(AC7,参数!$B$7)</f>
        <v/>
      </c>
      <c r="AE7" s="11">
        <f>AD7/参数!$B$6</f>
        <v/>
      </c>
      <c r="AF7" s="11">
        <f>AC7-AD7</f>
        <v/>
      </c>
      <c r="AG7" s="11">
        <f>X7*G7</f>
        <v/>
      </c>
    </row>
    <row r="8">
      <c r="A8" s="11" t="n">
        <v>5</v>
      </c>
      <c r="B8" s="12" t="n">
        <v>0.34</v>
      </c>
      <c r="C8" s="12" t="n">
        <v>0.33</v>
      </c>
      <c r="D8" s="13">
        <f>1-B8-C8</f>
        <v/>
      </c>
      <c r="E8" s="11">
        <f>参数!$B$2+参数!$B$3*(A8-1)</f>
        <v/>
      </c>
      <c r="F8" s="11">
        <f>F7+AE7</f>
        <v/>
      </c>
      <c r="G8" s="14">
        <f>1+参数!$B$17*(S7-1)</f>
        <v/>
      </c>
      <c r="H8" s="11">
        <f>F8*G8</f>
        <v/>
      </c>
      <c r="I8" s="11">
        <f>E8/参数!$B$4</f>
        <v/>
      </c>
      <c r="J8" s="11">
        <f>MIN(H8,I8)</f>
        <v/>
      </c>
      <c r="K8" s="15">
        <f>IF(I8&lt;H8,"⚡受限","")</f>
        <v/>
      </c>
      <c r="L8" s="11">
        <f>J8*B8</f>
        <v/>
      </c>
      <c r="M8" s="11">
        <f>参数!$B$10*参数!$B$11*(1+参数!$B$19*W7)*AA7</f>
        <v/>
      </c>
      <c r="N8" s="11">
        <f>T7+M8</f>
        <v/>
      </c>
      <c r="O8" s="11">
        <f>L8*参数!$B$13</f>
        <v/>
      </c>
      <c r="P8" s="13">
        <f>IF(O8=0,1,MIN(1,N8/O8))</f>
        <v/>
      </c>
      <c r="Q8" s="11">
        <f>L8*P8</f>
        <v/>
      </c>
      <c r="R8" s="11">
        <f>R7+Q8</f>
        <v/>
      </c>
      <c r="S8" s="11">
        <f>1+IF(R8&gt;=参数!$B$14,1,0)+IF(R8&gt;=参数!$B$15,1,0)+IF(R8&gt;=参数!$B$16,1,0)</f>
        <v/>
      </c>
      <c r="T8" s="11">
        <f>N8-O8*P8</f>
        <v/>
      </c>
      <c r="U8" s="11">
        <f>J8*D8</f>
        <v/>
      </c>
      <c r="V8" s="11">
        <f>V7+U8</f>
        <v/>
      </c>
      <c r="W8" s="11">
        <f>INT(V8/参数!$B$18)</f>
        <v/>
      </c>
      <c r="X8" s="11">
        <f>J8*C8</f>
        <v/>
      </c>
      <c r="Y8" s="11">
        <f>参数!$B$20+参数!$B$21*(A8-1)</f>
        <v/>
      </c>
      <c r="Z8" s="13">
        <f>MIN(1,X8/Y8)</f>
        <v/>
      </c>
      <c r="AA8" s="14">
        <f>参数!$B$22+(1-参数!$B$22)*Z8</f>
        <v/>
      </c>
      <c r="AB8" s="11">
        <f>参数!$B$9*(1+参数!$B$19*W7)*AA7</f>
        <v/>
      </c>
      <c r="AC8" s="11">
        <f>AF7+AB8</f>
        <v/>
      </c>
      <c r="AD8" s="11">
        <f>MIN(AC8,参数!$B$7)</f>
        <v/>
      </c>
      <c r="AE8" s="11">
        <f>AD8/参数!$B$6</f>
        <v/>
      </c>
      <c r="AF8" s="11">
        <f>AC8-AD8</f>
        <v/>
      </c>
      <c r="AG8" s="11">
        <f>X8*G8</f>
        <v/>
      </c>
    </row>
    <row r="9">
      <c r="A9" s="11" t="n">
        <v>6</v>
      </c>
      <c r="B9" s="12" t="n">
        <v>0.34</v>
      </c>
      <c r="C9" s="12" t="n">
        <v>0.33</v>
      </c>
      <c r="D9" s="13">
        <f>1-B9-C9</f>
        <v/>
      </c>
      <c r="E9" s="11">
        <f>参数!$B$2+参数!$B$3*(A9-1)</f>
        <v/>
      </c>
      <c r="F9" s="11">
        <f>F8+AE8</f>
        <v/>
      </c>
      <c r="G9" s="14">
        <f>1+参数!$B$17*(S8-1)</f>
        <v/>
      </c>
      <c r="H9" s="11">
        <f>F9*G9</f>
        <v/>
      </c>
      <c r="I9" s="11">
        <f>E9/参数!$B$4</f>
        <v/>
      </c>
      <c r="J9" s="11">
        <f>MIN(H9,I9)</f>
        <v/>
      </c>
      <c r="K9" s="15">
        <f>IF(I9&lt;H9,"⚡受限","")</f>
        <v/>
      </c>
      <c r="L9" s="11">
        <f>J9*B9</f>
        <v/>
      </c>
      <c r="M9" s="11">
        <f>参数!$B$10*参数!$B$11*(1+参数!$B$19*W8)*AA8</f>
        <v/>
      </c>
      <c r="N9" s="11">
        <f>T8+M9</f>
        <v/>
      </c>
      <c r="O9" s="11">
        <f>L9*参数!$B$13</f>
        <v/>
      </c>
      <c r="P9" s="13">
        <f>IF(O9=0,1,MIN(1,N9/O9))</f>
        <v/>
      </c>
      <c r="Q9" s="11">
        <f>L9*P9</f>
        <v/>
      </c>
      <c r="R9" s="11">
        <f>R8+Q9</f>
        <v/>
      </c>
      <c r="S9" s="11">
        <f>1+IF(R9&gt;=参数!$B$14,1,0)+IF(R9&gt;=参数!$B$15,1,0)+IF(R9&gt;=参数!$B$16,1,0)</f>
        <v/>
      </c>
      <c r="T9" s="11">
        <f>N9-O9*P9</f>
        <v/>
      </c>
      <c r="U9" s="11">
        <f>J9*D9</f>
        <v/>
      </c>
      <c r="V9" s="11">
        <f>V8+U9</f>
        <v/>
      </c>
      <c r="W9" s="11">
        <f>INT(V9/参数!$B$18)</f>
        <v/>
      </c>
      <c r="X9" s="11">
        <f>J9*C9</f>
        <v/>
      </c>
      <c r="Y9" s="11">
        <f>参数!$B$20+参数!$B$21*(A9-1)</f>
        <v/>
      </c>
      <c r="Z9" s="13">
        <f>MIN(1,X9/Y9)</f>
        <v/>
      </c>
      <c r="AA9" s="14">
        <f>参数!$B$22+(1-参数!$B$22)*Z9</f>
        <v/>
      </c>
      <c r="AB9" s="11">
        <f>参数!$B$9*(1+参数!$B$19*W8)*AA8</f>
        <v/>
      </c>
      <c r="AC9" s="11">
        <f>AF8+AB9</f>
        <v/>
      </c>
      <c r="AD9" s="11">
        <f>MIN(AC9,参数!$B$7)</f>
        <v/>
      </c>
      <c r="AE9" s="11">
        <f>AD9/参数!$B$6</f>
        <v/>
      </c>
      <c r="AF9" s="11">
        <f>AC9-AD9</f>
        <v/>
      </c>
      <c r="AG9" s="11">
        <f>X9*G9</f>
        <v/>
      </c>
    </row>
    <row r="10">
      <c r="A10" s="11" t="n">
        <v>7</v>
      </c>
      <c r="B10" s="12" t="n">
        <v>0.34</v>
      </c>
      <c r="C10" s="12" t="n">
        <v>0.33</v>
      </c>
      <c r="D10" s="13">
        <f>1-B10-C10</f>
        <v/>
      </c>
      <c r="E10" s="11">
        <f>参数!$B$2+参数!$B$3*(A10-1)</f>
        <v/>
      </c>
      <c r="F10" s="11">
        <f>F9+AE9</f>
        <v/>
      </c>
      <c r="G10" s="14">
        <f>1+参数!$B$17*(S9-1)</f>
        <v/>
      </c>
      <c r="H10" s="11">
        <f>F10*G10</f>
        <v/>
      </c>
      <c r="I10" s="11">
        <f>E10/参数!$B$4</f>
        <v/>
      </c>
      <c r="J10" s="11">
        <f>MIN(H10,I10)</f>
        <v/>
      </c>
      <c r="K10" s="15">
        <f>IF(I10&lt;H10,"⚡受限","")</f>
        <v/>
      </c>
      <c r="L10" s="11">
        <f>J10*B10</f>
        <v/>
      </c>
      <c r="M10" s="11">
        <f>参数!$B$10*参数!$B$11*(1+参数!$B$19*W9)*AA9</f>
        <v/>
      </c>
      <c r="N10" s="11">
        <f>T9+M10</f>
        <v/>
      </c>
      <c r="O10" s="11">
        <f>L10*参数!$B$13</f>
        <v/>
      </c>
      <c r="P10" s="13">
        <f>IF(O10=0,1,MIN(1,N10/O10))</f>
        <v/>
      </c>
      <c r="Q10" s="11">
        <f>L10*P10</f>
        <v/>
      </c>
      <c r="R10" s="11">
        <f>R9+Q10</f>
        <v/>
      </c>
      <c r="S10" s="11">
        <f>1+IF(R10&gt;=参数!$B$14,1,0)+IF(R10&gt;=参数!$B$15,1,0)+IF(R10&gt;=参数!$B$16,1,0)</f>
        <v/>
      </c>
      <c r="T10" s="11">
        <f>N10-O10*P10</f>
        <v/>
      </c>
      <c r="U10" s="11">
        <f>J10*D10</f>
        <v/>
      </c>
      <c r="V10" s="11">
        <f>V9+U10</f>
        <v/>
      </c>
      <c r="W10" s="11">
        <f>INT(V10/参数!$B$18)</f>
        <v/>
      </c>
      <c r="X10" s="11">
        <f>J10*C10</f>
        <v/>
      </c>
      <c r="Y10" s="11">
        <f>参数!$B$20+参数!$B$21*(A10-1)</f>
        <v/>
      </c>
      <c r="Z10" s="13">
        <f>MIN(1,X10/Y10)</f>
        <v/>
      </c>
      <c r="AA10" s="14">
        <f>参数!$B$22+(1-参数!$B$22)*Z10</f>
        <v/>
      </c>
      <c r="AB10" s="11">
        <f>参数!$B$9*(1+参数!$B$19*W9)*AA9</f>
        <v/>
      </c>
      <c r="AC10" s="11">
        <f>AF9+AB10</f>
        <v/>
      </c>
      <c r="AD10" s="11">
        <f>MIN(AC10,参数!$B$7)</f>
        <v/>
      </c>
      <c r="AE10" s="11">
        <f>AD10/参数!$B$6</f>
        <v/>
      </c>
      <c r="AF10" s="11">
        <f>AC10-AD10</f>
        <v/>
      </c>
      <c r="AG10" s="11">
        <f>X10*G10</f>
        <v/>
      </c>
    </row>
    <row r="11">
      <c r="A11" s="11" t="n">
        <v>8</v>
      </c>
      <c r="B11" s="12" t="n">
        <v>0.34</v>
      </c>
      <c r="C11" s="12" t="n">
        <v>0.33</v>
      </c>
      <c r="D11" s="13">
        <f>1-B11-C11</f>
        <v/>
      </c>
      <c r="E11" s="11">
        <f>参数!$B$2+参数!$B$3*(A11-1)</f>
        <v/>
      </c>
      <c r="F11" s="11">
        <f>F10+AE10</f>
        <v/>
      </c>
      <c r="G11" s="14">
        <f>1+参数!$B$17*(S10-1)</f>
        <v/>
      </c>
      <c r="H11" s="11">
        <f>F11*G11</f>
        <v/>
      </c>
      <c r="I11" s="11">
        <f>E11/参数!$B$4</f>
        <v/>
      </c>
      <c r="J11" s="11">
        <f>MIN(H11,I11)</f>
        <v/>
      </c>
      <c r="K11" s="15">
        <f>IF(I11&lt;H11,"⚡受限","")</f>
        <v/>
      </c>
      <c r="L11" s="11">
        <f>J11*B11</f>
        <v/>
      </c>
      <c r="M11" s="11">
        <f>参数!$B$10*参数!$B$11*(1+参数!$B$19*W10)*AA10</f>
        <v/>
      </c>
      <c r="N11" s="11">
        <f>T10+M11</f>
        <v/>
      </c>
      <c r="O11" s="11">
        <f>L11*参数!$B$13</f>
        <v/>
      </c>
      <c r="P11" s="13">
        <f>IF(O11=0,1,MIN(1,N11/O11))</f>
        <v/>
      </c>
      <c r="Q11" s="11">
        <f>L11*P11</f>
        <v/>
      </c>
      <c r="R11" s="11">
        <f>R10+Q11</f>
        <v/>
      </c>
      <c r="S11" s="11">
        <f>1+IF(R11&gt;=参数!$B$14,1,0)+IF(R11&gt;=参数!$B$15,1,0)+IF(R11&gt;=参数!$B$16,1,0)</f>
        <v/>
      </c>
      <c r="T11" s="11">
        <f>N11-O11*P11</f>
        <v/>
      </c>
      <c r="U11" s="11">
        <f>J11*D11</f>
        <v/>
      </c>
      <c r="V11" s="11">
        <f>V10+U11</f>
        <v/>
      </c>
      <c r="W11" s="11">
        <f>INT(V11/参数!$B$18)</f>
        <v/>
      </c>
      <c r="X11" s="11">
        <f>J11*C11</f>
        <v/>
      </c>
      <c r="Y11" s="11">
        <f>参数!$B$20+参数!$B$21*(A11-1)</f>
        <v/>
      </c>
      <c r="Z11" s="13">
        <f>MIN(1,X11/Y11)</f>
        <v/>
      </c>
      <c r="AA11" s="14">
        <f>参数!$B$22+(1-参数!$B$22)*Z11</f>
        <v/>
      </c>
      <c r="AB11" s="11">
        <f>参数!$B$9*(1+参数!$B$19*W10)*AA10</f>
        <v/>
      </c>
      <c r="AC11" s="11">
        <f>AF10+AB11</f>
        <v/>
      </c>
      <c r="AD11" s="11">
        <f>MIN(AC11,参数!$B$7)</f>
        <v/>
      </c>
      <c r="AE11" s="11">
        <f>AD11/参数!$B$6</f>
        <v/>
      </c>
      <c r="AF11" s="11">
        <f>AC11-AD11</f>
        <v/>
      </c>
      <c r="AG11" s="11">
        <f>X11*G11</f>
        <v/>
      </c>
    </row>
    <row r="12">
      <c r="A12" s="11" t="n">
        <v>9</v>
      </c>
      <c r="B12" s="12" t="n">
        <v>0.34</v>
      </c>
      <c r="C12" s="12" t="n">
        <v>0.33</v>
      </c>
      <c r="D12" s="13">
        <f>1-B12-C12</f>
        <v/>
      </c>
      <c r="E12" s="11">
        <f>参数!$B$2+参数!$B$3*(A12-1)</f>
        <v/>
      </c>
      <c r="F12" s="11">
        <f>F11+AE11</f>
        <v/>
      </c>
      <c r="G12" s="14">
        <f>1+参数!$B$17*(S11-1)</f>
        <v/>
      </c>
      <c r="H12" s="11">
        <f>F12*G12</f>
        <v/>
      </c>
      <c r="I12" s="11">
        <f>E12/参数!$B$4</f>
        <v/>
      </c>
      <c r="J12" s="11">
        <f>MIN(H12,I12)</f>
        <v/>
      </c>
      <c r="K12" s="15">
        <f>IF(I12&lt;H12,"⚡受限","")</f>
        <v/>
      </c>
      <c r="L12" s="11">
        <f>J12*B12</f>
        <v/>
      </c>
      <c r="M12" s="11">
        <f>参数!$B$10*参数!$B$11*(1+参数!$B$19*W11)*AA11</f>
        <v/>
      </c>
      <c r="N12" s="11">
        <f>T11+M12</f>
        <v/>
      </c>
      <c r="O12" s="11">
        <f>L12*参数!$B$13</f>
        <v/>
      </c>
      <c r="P12" s="13">
        <f>IF(O12=0,1,MIN(1,N12/O12))</f>
        <v/>
      </c>
      <c r="Q12" s="11">
        <f>L12*P12</f>
        <v/>
      </c>
      <c r="R12" s="11">
        <f>R11+Q12</f>
        <v/>
      </c>
      <c r="S12" s="11">
        <f>1+IF(R12&gt;=参数!$B$14,1,0)+IF(R12&gt;=参数!$B$15,1,0)+IF(R12&gt;=参数!$B$16,1,0)</f>
        <v/>
      </c>
      <c r="T12" s="11">
        <f>N12-O12*P12</f>
        <v/>
      </c>
      <c r="U12" s="11">
        <f>J12*D12</f>
        <v/>
      </c>
      <c r="V12" s="11">
        <f>V11+U12</f>
        <v/>
      </c>
      <c r="W12" s="11">
        <f>INT(V12/参数!$B$18)</f>
        <v/>
      </c>
      <c r="X12" s="11">
        <f>J12*C12</f>
        <v/>
      </c>
      <c r="Y12" s="11">
        <f>参数!$B$20+参数!$B$21*(A12-1)</f>
        <v/>
      </c>
      <c r="Z12" s="13">
        <f>MIN(1,X12/Y12)</f>
        <v/>
      </c>
      <c r="AA12" s="14">
        <f>参数!$B$22+(1-参数!$B$22)*Z12</f>
        <v/>
      </c>
      <c r="AB12" s="11">
        <f>参数!$B$9*(1+参数!$B$19*W11)*AA11</f>
        <v/>
      </c>
      <c r="AC12" s="11">
        <f>AF11+AB12</f>
        <v/>
      </c>
      <c r="AD12" s="11">
        <f>MIN(AC12,参数!$B$7)</f>
        <v/>
      </c>
      <c r="AE12" s="11">
        <f>AD12/参数!$B$6</f>
        <v/>
      </c>
      <c r="AF12" s="11">
        <f>AC12-AD12</f>
        <v/>
      </c>
      <c r="AG12" s="11">
        <f>X12*G12</f>
        <v/>
      </c>
    </row>
    <row r="13">
      <c r="A13" s="11" t="n">
        <v>10</v>
      </c>
      <c r="B13" s="12" t="n">
        <v>0.34</v>
      </c>
      <c r="C13" s="12" t="n">
        <v>0.33</v>
      </c>
      <c r="D13" s="13">
        <f>1-B13-C13</f>
        <v/>
      </c>
      <c r="E13" s="11">
        <f>参数!$B$2+参数!$B$3*(A13-1)</f>
        <v/>
      </c>
      <c r="F13" s="11">
        <f>F12+AE12</f>
        <v/>
      </c>
      <c r="G13" s="14">
        <f>1+参数!$B$17*(S12-1)</f>
        <v/>
      </c>
      <c r="H13" s="11">
        <f>F13*G13</f>
        <v/>
      </c>
      <c r="I13" s="11">
        <f>E13/参数!$B$4</f>
        <v/>
      </c>
      <c r="J13" s="11">
        <f>MIN(H13,I13)</f>
        <v/>
      </c>
      <c r="K13" s="15">
        <f>IF(I13&lt;H13,"⚡受限","")</f>
        <v/>
      </c>
      <c r="L13" s="11">
        <f>J13*B13</f>
        <v/>
      </c>
      <c r="M13" s="11">
        <f>参数!$B$10*参数!$B$11*(1+参数!$B$19*W12)*AA12</f>
        <v/>
      </c>
      <c r="N13" s="11">
        <f>T12+M13</f>
        <v/>
      </c>
      <c r="O13" s="11">
        <f>L13*参数!$B$13</f>
        <v/>
      </c>
      <c r="P13" s="13">
        <f>IF(O13=0,1,MIN(1,N13/O13))</f>
        <v/>
      </c>
      <c r="Q13" s="11">
        <f>L13*P13</f>
        <v/>
      </c>
      <c r="R13" s="11">
        <f>R12+Q13</f>
        <v/>
      </c>
      <c r="S13" s="11">
        <f>1+IF(R13&gt;=参数!$B$14,1,0)+IF(R13&gt;=参数!$B$15,1,0)+IF(R13&gt;=参数!$B$16,1,0)</f>
        <v/>
      </c>
      <c r="T13" s="11">
        <f>N13-O13*P13</f>
        <v/>
      </c>
      <c r="U13" s="11">
        <f>J13*D13</f>
        <v/>
      </c>
      <c r="V13" s="11">
        <f>V12+U13</f>
        <v/>
      </c>
      <c r="W13" s="11">
        <f>INT(V13/参数!$B$18)</f>
        <v/>
      </c>
      <c r="X13" s="11">
        <f>J13*C13</f>
        <v/>
      </c>
      <c r="Y13" s="11">
        <f>参数!$B$20+参数!$B$21*(A13-1)</f>
        <v/>
      </c>
      <c r="Z13" s="13">
        <f>MIN(1,X13/Y13)</f>
        <v/>
      </c>
      <c r="AA13" s="14">
        <f>参数!$B$22+(1-参数!$B$22)*Z13</f>
        <v/>
      </c>
      <c r="AB13" s="11">
        <f>参数!$B$9*(1+参数!$B$19*W12)*AA12</f>
        <v/>
      </c>
      <c r="AC13" s="11">
        <f>AF12+AB13</f>
        <v/>
      </c>
      <c r="AD13" s="11">
        <f>MIN(AC13,参数!$B$7)</f>
        <v/>
      </c>
      <c r="AE13" s="11">
        <f>AD13/参数!$B$6</f>
        <v/>
      </c>
      <c r="AF13" s="11">
        <f>AC13-AD13</f>
        <v/>
      </c>
      <c r="AG13" s="11">
        <f>X13*G13</f>
        <v/>
      </c>
    </row>
    <row r="14">
      <c r="A14" s="11" t="n">
        <v>11</v>
      </c>
      <c r="B14" s="12" t="n">
        <v>0.34</v>
      </c>
      <c r="C14" s="12" t="n">
        <v>0.33</v>
      </c>
      <c r="D14" s="13">
        <f>1-B14-C14</f>
        <v/>
      </c>
      <c r="E14" s="11">
        <f>参数!$B$2+参数!$B$3*(A14-1)</f>
        <v/>
      </c>
      <c r="F14" s="11">
        <f>F13+AE13</f>
        <v/>
      </c>
      <c r="G14" s="14">
        <f>1+参数!$B$17*(S13-1)</f>
        <v/>
      </c>
      <c r="H14" s="11">
        <f>F14*G14</f>
        <v/>
      </c>
      <c r="I14" s="11">
        <f>E14/参数!$B$4</f>
        <v/>
      </c>
      <c r="J14" s="11">
        <f>MIN(H14,I14)</f>
        <v/>
      </c>
      <c r="K14" s="15">
        <f>IF(I14&lt;H14,"⚡受限","")</f>
        <v/>
      </c>
      <c r="L14" s="11">
        <f>J14*B14</f>
        <v/>
      </c>
      <c r="M14" s="11">
        <f>参数!$B$10*参数!$B$11*(1+参数!$B$19*W13)*AA13</f>
        <v/>
      </c>
      <c r="N14" s="11">
        <f>T13+M14</f>
        <v/>
      </c>
      <c r="O14" s="11">
        <f>L14*参数!$B$13</f>
        <v/>
      </c>
      <c r="P14" s="13">
        <f>IF(O14=0,1,MIN(1,N14/O14))</f>
        <v/>
      </c>
      <c r="Q14" s="11">
        <f>L14*P14</f>
        <v/>
      </c>
      <c r="R14" s="11">
        <f>R13+Q14</f>
        <v/>
      </c>
      <c r="S14" s="11">
        <f>1+IF(R14&gt;=参数!$B$14,1,0)+IF(R14&gt;=参数!$B$15,1,0)+IF(R14&gt;=参数!$B$16,1,0)</f>
        <v/>
      </c>
      <c r="T14" s="11">
        <f>N14-O14*P14</f>
        <v/>
      </c>
      <c r="U14" s="11">
        <f>J14*D14</f>
        <v/>
      </c>
      <c r="V14" s="11">
        <f>V13+U14</f>
        <v/>
      </c>
      <c r="W14" s="11">
        <f>INT(V14/参数!$B$18)</f>
        <v/>
      </c>
      <c r="X14" s="11">
        <f>J14*C14</f>
        <v/>
      </c>
      <c r="Y14" s="11">
        <f>参数!$B$20+参数!$B$21*(A14-1)</f>
        <v/>
      </c>
      <c r="Z14" s="13">
        <f>MIN(1,X14/Y14)</f>
        <v/>
      </c>
      <c r="AA14" s="14">
        <f>参数!$B$22+(1-参数!$B$22)*Z14</f>
        <v/>
      </c>
      <c r="AB14" s="11">
        <f>参数!$B$9*(1+参数!$B$19*W13)*AA13</f>
        <v/>
      </c>
      <c r="AC14" s="11">
        <f>AF13+AB14</f>
        <v/>
      </c>
      <c r="AD14" s="11">
        <f>MIN(AC14,参数!$B$7)</f>
        <v/>
      </c>
      <c r="AE14" s="11">
        <f>AD14/参数!$B$6</f>
        <v/>
      </c>
      <c r="AF14" s="11">
        <f>AC14-AD14</f>
        <v/>
      </c>
      <c r="AG14" s="11">
        <f>X14*G14</f>
        <v/>
      </c>
    </row>
    <row r="15">
      <c r="A15" s="11" t="n">
        <v>12</v>
      </c>
      <c r="B15" s="12" t="n">
        <v>0.34</v>
      </c>
      <c r="C15" s="12" t="n">
        <v>0.33</v>
      </c>
      <c r="D15" s="13">
        <f>1-B15-C15</f>
        <v/>
      </c>
      <c r="E15" s="11">
        <f>参数!$B$2+参数!$B$3*(A15-1)</f>
        <v/>
      </c>
      <c r="F15" s="11">
        <f>F14+AE14</f>
        <v/>
      </c>
      <c r="G15" s="14">
        <f>1+参数!$B$17*(S14-1)</f>
        <v/>
      </c>
      <c r="H15" s="11">
        <f>F15*G15</f>
        <v/>
      </c>
      <c r="I15" s="11">
        <f>E15/参数!$B$4</f>
        <v/>
      </c>
      <c r="J15" s="11">
        <f>MIN(H15,I15)</f>
        <v/>
      </c>
      <c r="K15" s="15">
        <f>IF(I15&lt;H15,"⚡受限","")</f>
        <v/>
      </c>
      <c r="L15" s="11">
        <f>J15*B15</f>
        <v/>
      </c>
      <c r="M15" s="11">
        <f>参数!$B$10*参数!$B$11*(1+参数!$B$19*W14)*AA14</f>
        <v/>
      </c>
      <c r="N15" s="11">
        <f>T14+M15</f>
        <v/>
      </c>
      <c r="O15" s="11">
        <f>L15*参数!$B$13</f>
        <v/>
      </c>
      <c r="P15" s="13">
        <f>IF(O15=0,1,MIN(1,N15/O15))</f>
        <v/>
      </c>
      <c r="Q15" s="11">
        <f>L15*P15</f>
        <v/>
      </c>
      <c r="R15" s="11">
        <f>R14+Q15</f>
        <v/>
      </c>
      <c r="S15" s="11">
        <f>1+IF(R15&gt;=参数!$B$14,1,0)+IF(R15&gt;=参数!$B$15,1,0)+IF(R15&gt;=参数!$B$16,1,0)</f>
        <v/>
      </c>
      <c r="T15" s="11">
        <f>N15-O15*P15</f>
        <v/>
      </c>
      <c r="U15" s="11">
        <f>J15*D15</f>
        <v/>
      </c>
      <c r="V15" s="11">
        <f>V14+U15</f>
        <v/>
      </c>
      <c r="W15" s="11">
        <f>INT(V15/参数!$B$18)</f>
        <v/>
      </c>
      <c r="X15" s="11">
        <f>J15*C15</f>
        <v/>
      </c>
      <c r="Y15" s="11">
        <f>参数!$B$20+参数!$B$21*(A15-1)</f>
        <v/>
      </c>
      <c r="Z15" s="13">
        <f>MIN(1,X15/Y15)</f>
        <v/>
      </c>
      <c r="AA15" s="14">
        <f>参数!$B$22+(1-参数!$B$22)*Z15</f>
        <v/>
      </c>
      <c r="AB15" s="11">
        <f>参数!$B$9*(1+参数!$B$19*W14)*AA14</f>
        <v/>
      </c>
      <c r="AC15" s="11">
        <f>AF14+AB15</f>
        <v/>
      </c>
      <c r="AD15" s="11">
        <f>MIN(AC15,参数!$B$7)</f>
        <v/>
      </c>
      <c r="AE15" s="11">
        <f>AD15/参数!$B$6</f>
        <v/>
      </c>
      <c r="AF15" s="11">
        <f>AC15-AD15</f>
        <v/>
      </c>
      <c r="AG15" s="11">
        <f>X15*G15</f>
        <v/>
      </c>
    </row>
    <row r="16">
      <c r="A16" s="11" t="n">
        <v>13</v>
      </c>
      <c r="B16" s="12" t="n">
        <v>0.34</v>
      </c>
      <c r="C16" s="12" t="n">
        <v>0.33</v>
      </c>
      <c r="D16" s="13">
        <f>1-B16-C16</f>
        <v/>
      </c>
      <c r="E16" s="11">
        <f>参数!$B$2+参数!$B$3*(A16-1)</f>
        <v/>
      </c>
      <c r="F16" s="11">
        <f>F15+AE15</f>
        <v/>
      </c>
      <c r="G16" s="14">
        <f>1+参数!$B$17*(S15-1)</f>
        <v/>
      </c>
      <c r="H16" s="11">
        <f>F16*G16</f>
        <v/>
      </c>
      <c r="I16" s="11">
        <f>E16/参数!$B$4</f>
        <v/>
      </c>
      <c r="J16" s="11">
        <f>MIN(H16,I16)</f>
        <v/>
      </c>
      <c r="K16" s="15">
        <f>IF(I16&lt;H16,"⚡受限","")</f>
        <v/>
      </c>
      <c r="L16" s="11">
        <f>J16*B16</f>
        <v/>
      </c>
      <c r="M16" s="11">
        <f>参数!$B$10*参数!$B$11*(1+参数!$B$19*W15)*AA15</f>
        <v/>
      </c>
      <c r="N16" s="11">
        <f>T15+M16</f>
        <v/>
      </c>
      <c r="O16" s="11">
        <f>L16*参数!$B$13</f>
        <v/>
      </c>
      <c r="P16" s="13">
        <f>IF(O16=0,1,MIN(1,N16/O16))</f>
        <v/>
      </c>
      <c r="Q16" s="11">
        <f>L16*P16</f>
        <v/>
      </c>
      <c r="R16" s="11">
        <f>R15+Q16</f>
        <v/>
      </c>
      <c r="S16" s="11">
        <f>1+IF(R16&gt;=参数!$B$14,1,0)+IF(R16&gt;=参数!$B$15,1,0)+IF(R16&gt;=参数!$B$16,1,0)</f>
        <v/>
      </c>
      <c r="T16" s="11">
        <f>N16-O16*P16</f>
        <v/>
      </c>
      <c r="U16" s="11">
        <f>J16*D16</f>
        <v/>
      </c>
      <c r="V16" s="11">
        <f>V15+U16</f>
        <v/>
      </c>
      <c r="W16" s="11">
        <f>INT(V16/参数!$B$18)</f>
        <v/>
      </c>
      <c r="X16" s="11">
        <f>J16*C16</f>
        <v/>
      </c>
      <c r="Y16" s="11">
        <f>参数!$B$20+参数!$B$21*(A16-1)</f>
        <v/>
      </c>
      <c r="Z16" s="13">
        <f>MIN(1,X16/Y16)</f>
        <v/>
      </c>
      <c r="AA16" s="14">
        <f>参数!$B$22+(1-参数!$B$22)*Z16</f>
        <v/>
      </c>
      <c r="AB16" s="11">
        <f>参数!$B$9*(1+参数!$B$19*W15)*AA15</f>
        <v/>
      </c>
      <c r="AC16" s="11">
        <f>AF15+AB16</f>
        <v/>
      </c>
      <c r="AD16" s="11">
        <f>MIN(AC16,参数!$B$7)</f>
        <v/>
      </c>
      <c r="AE16" s="11">
        <f>AD16/参数!$B$6</f>
        <v/>
      </c>
      <c r="AF16" s="11">
        <f>AC16-AD16</f>
        <v/>
      </c>
      <c r="AG16" s="11">
        <f>X16*G16</f>
        <v/>
      </c>
    </row>
    <row r="17">
      <c r="A17" s="11" t="n">
        <v>14</v>
      </c>
      <c r="B17" s="12" t="n">
        <v>0.34</v>
      </c>
      <c r="C17" s="12" t="n">
        <v>0.33</v>
      </c>
      <c r="D17" s="13">
        <f>1-B17-C17</f>
        <v/>
      </c>
      <c r="E17" s="11">
        <f>参数!$B$2+参数!$B$3*(A17-1)</f>
        <v/>
      </c>
      <c r="F17" s="11">
        <f>F16+AE16</f>
        <v/>
      </c>
      <c r="G17" s="14">
        <f>1+参数!$B$17*(S16-1)</f>
        <v/>
      </c>
      <c r="H17" s="11">
        <f>F17*G17</f>
        <v/>
      </c>
      <c r="I17" s="11">
        <f>E17/参数!$B$4</f>
        <v/>
      </c>
      <c r="J17" s="11">
        <f>MIN(H17,I17)</f>
        <v/>
      </c>
      <c r="K17" s="15">
        <f>IF(I17&lt;H17,"⚡受限","")</f>
        <v/>
      </c>
      <c r="L17" s="11">
        <f>J17*B17</f>
        <v/>
      </c>
      <c r="M17" s="11">
        <f>参数!$B$10*参数!$B$11*(1+参数!$B$19*W16)*AA16</f>
        <v/>
      </c>
      <c r="N17" s="11">
        <f>T16+M17</f>
        <v/>
      </c>
      <c r="O17" s="11">
        <f>L17*参数!$B$13</f>
        <v/>
      </c>
      <c r="P17" s="13">
        <f>IF(O17=0,1,MIN(1,N17/O17))</f>
        <v/>
      </c>
      <c r="Q17" s="11">
        <f>L17*P17</f>
        <v/>
      </c>
      <c r="R17" s="11">
        <f>R16+Q17</f>
        <v/>
      </c>
      <c r="S17" s="11">
        <f>1+IF(R17&gt;=参数!$B$14,1,0)+IF(R17&gt;=参数!$B$15,1,0)+IF(R17&gt;=参数!$B$16,1,0)</f>
        <v/>
      </c>
      <c r="T17" s="11">
        <f>N17-O17*P17</f>
        <v/>
      </c>
      <c r="U17" s="11">
        <f>J17*D17</f>
        <v/>
      </c>
      <c r="V17" s="11">
        <f>V16+U17</f>
        <v/>
      </c>
      <c r="W17" s="11">
        <f>INT(V17/参数!$B$18)</f>
        <v/>
      </c>
      <c r="X17" s="11">
        <f>J17*C17</f>
        <v/>
      </c>
      <c r="Y17" s="11">
        <f>参数!$B$20+参数!$B$21*(A17-1)</f>
        <v/>
      </c>
      <c r="Z17" s="13">
        <f>MIN(1,X17/Y17)</f>
        <v/>
      </c>
      <c r="AA17" s="14">
        <f>参数!$B$22+(1-参数!$B$22)*Z17</f>
        <v/>
      </c>
      <c r="AB17" s="11">
        <f>参数!$B$9*(1+参数!$B$19*W16)*AA16</f>
        <v/>
      </c>
      <c r="AC17" s="11">
        <f>AF16+AB17</f>
        <v/>
      </c>
      <c r="AD17" s="11">
        <f>MIN(AC17,参数!$B$7)</f>
        <v/>
      </c>
      <c r="AE17" s="11">
        <f>AD17/参数!$B$6</f>
        <v/>
      </c>
      <c r="AF17" s="11">
        <f>AC17-AD17</f>
        <v/>
      </c>
      <c r="AG17" s="11">
        <f>X17*G17</f>
        <v/>
      </c>
    </row>
    <row r="18">
      <c r="A18" s="11" t="n">
        <v>15</v>
      </c>
      <c r="B18" s="12" t="n">
        <v>0.34</v>
      </c>
      <c r="C18" s="12" t="n">
        <v>0.33</v>
      </c>
      <c r="D18" s="13">
        <f>1-B18-C18</f>
        <v/>
      </c>
      <c r="E18" s="11">
        <f>参数!$B$2+参数!$B$3*(A18-1)</f>
        <v/>
      </c>
      <c r="F18" s="11">
        <f>F17+AE17</f>
        <v/>
      </c>
      <c r="G18" s="14">
        <f>1+参数!$B$17*(S17-1)</f>
        <v/>
      </c>
      <c r="H18" s="11">
        <f>F18*G18</f>
        <v/>
      </c>
      <c r="I18" s="11">
        <f>E18/参数!$B$4</f>
        <v/>
      </c>
      <c r="J18" s="11">
        <f>MIN(H18,I18)</f>
        <v/>
      </c>
      <c r="K18" s="15">
        <f>IF(I18&lt;H18,"⚡受限","")</f>
        <v/>
      </c>
      <c r="L18" s="11">
        <f>J18*B18</f>
        <v/>
      </c>
      <c r="M18" s="11">
        <f>参数!$B$10*参数!$B$11*(1+参数!$B$19*W17)*AA17</f>
        <v/>
      </c>
      <c r="N18" s="11">
        <f>T17+M18</f>
        <v/>
      </c>
      <c r="O18" s="11">
        <f>L18*参数!$B$13</f>
        <v/>
      </c>
      <c r="P18" s="13">
        <f>IF(O18=0,1,MIN(1,N18/O18))</f>
        <v/>
      </c>
      <c r="Q18" s="11">
        <f>L18*P18</f>
        <v/>
      </c>
      <c r="R18" s="11">
        <f>R17+Q18</f>
        <v/>
      </c>
      <c r="S18" s="11">
        <f>1+IF(R18&gt;=参数!$B$14,1,0)+IF(R18&gt;=参数!$B$15,1,0)+IF(R18&gt;=参数!$B$16,1,0)</f>
        <v/>
      </c>
      <c r="T18" s="11">
        <f>N18-O18*P18</f>
        <v/>
      </c>
      <c r="U18" s="11">
        <f>J18*D18</f>
        <v/>
      </c>
      <c r="V18" s="11">
        <f>V17+U18</f>
        <v/>
      </c>
      <c r="W18" s="11">
        <f>INT(V18/参数!$B$18)</f>
        <v/>
      </c>
      <c r="X18" s="11">
        <f>J18*C18</f>
        <v/>
      </c>
      <c r="Y18" s="11">
        <f>参数!$B$20+参数!$B$21*(A18-1)</f>
        <v/>
      </c>
      <c r="Z18" s="13">
        <f>MIN(1,X18/Y18)</f>
        <v/>
      </c>
      <c r="AA18" s="14">
        <f>参数!$B$22+(1-参数!$B$22)*Z18</f>
        <v/>
      </c>
      <c r="AB18" s="11">
        <f>参数!$B$9*(1+参数!$B$19*W17)*AA17</f>
        <v/>
      </c>
      <c r="AC18" s="11">
        <f>AF17+AB18</f>
        <v/>
      </c>
      <c r="AD18" s="11">
        <f>MIN(AC18,参数!$B$7)</f>
        <v/>
      </c>
      <c r="AE18" s="11">
        <f>AD18/参数!$B$6</f>
        <v/>
      </c>
      <c r="AF18" s="11">
        <f>AC18-AD18</f>
        <v/>
      </c>
      <c r="AG18" s="11">
        <f>X18*G18</f>
        <v/>
      </c>
    </row>
    <row r="19">
      <c r="A19" s="11" t="n">
        <v>16</v>
      </c>
      <c r="B19" s="12" t="n">
        <v>0.34</v>
      </c>
      <c r="C19" s="12" t="n">
        <v>0.33</v>
      </c>
      <c r="D19" s="13">
        <f>1-B19-C19</f>
        <v/>
      </c>
      <c r="E19" s="11">
        <f>参数!$B$2+参数!$B$3*(A19-1)</f>
        <v/>
      </c>
      <c r="F19" s="11">
        <f>F18+AE18</f>
        <v/>
      </c>
      <c r="G19" s="14">
        <f>1+参数!$B$17*(S18-1)</f>
        <v/>
      </c>
      <c r="H19" s="11">
        <f>F19*G19</f>
        <v/>
      </c>
      <c r="I19" s="11">
        <f>E19/参数!$B$4</f>
        <v/>
      </c>
      <c r="J19" s="11">
        <f>MIN(H19,I19)</f>
        <v/>
      </c>
      <c r="K19" s="15">
        <f>IF(I19&lt;H19,"⚡受限","")</f>
        <v/>
      </c>
      <c r="L19" s="11">
        <f>J19*B19</f>
        <v/>
      </c>
      <c r="M19" s="11">
        <f>参数!$B$10*参数!$B$11*(1+参数!$B$19*W18)*AA18</f>
        <v/>
      </c>
      <c r="N19" s="11">
        <f>T18+M19</f>
        <v/>
      </c>
      <c r="O19" s="11">
        <f>L19*参数!$B$13</f>
        <v/>
      </c>
      <c r="P19" s="13">
        <f>IF(O19=0,1,MIN(1,N19/O19))</f>
        <v/>
      </c>
      <c r="Q19" s="11">
        <f>L19*P19</f>
        <v/>
      </c>
      <c r="R19" s="11">
        <f>R18+Q19</f>
        <v/>
      </c>
      <c r="S19" s="11">
        <f>1+IF(R19&gt;=参数!$B$14,1,0)+IF(R19&gt;=参数!$B$15,1,0)+IF(R19&gt;=参数!$B$16,1,0)</f>
        <v/>
      </c>
      <c r="T19" s="11">
        <f>N19-O19*P19</f>
        <v/>
      </c>
      <c r="U19" s="11">
        <f>J19*D19</f>
        <v/>
      </c>
      <c r="V19" s="11">
        <f>V18+U19</f>
        <v/>
      </c>
      <c r="W19" s="11">
        <f>INT(V19/参数!$B$18)</f>
        <v/>
      </c>
      <c r="X19" s="11">
        <f>J19*C19</f>
        <v/>
      </c>
      <c r="Y19" s="11">
        <f>参数!$B$20+参数!$B$21*(A19-1)</f>
        <v/>
      </c>
      <c r="Z19" s="13">
        <f>MIN(1,X19/Y19)</f>
        <v/>
      </c>
      <c r="AA19" s="14">
        <f>参数!$B$22+(1-参数!$B$22)*Z19</f>
        <v/>
      </c>
      <c r="AB19" s="11">
        <f>参数!$B$9*(1+参数!$B$19*W18)*AA18</f>
        <v/>
      </c>
      <c r="AC19" s="11">
        <f>AF18+AB19</f>
        <v/>
      </c>
      <c r="AD19" s="11">
        <f>MIN(AC19,参数!$B$7)</f>
        <v/>
      </c>
      <c r="AE19" s="11">
        <f>AD19/参数!$B$6</f>
        <v/>
      </c>
      <c r="AF19" s="11">
        <f>AC19-AD19</f>
        <v/>
      </c>
      <c r="AG19" s="11">
        <f>X19*G19</f>
        <v/>
      </c>
    </row>
    <row r="20">
      <c r="A20" s="11" t="n">
        <v>17</v>
      </c>
      <c r="B20" s="12" t="n">
        <v>0.34</v>
      </c>
      <c r="C20" s="12" t="n">
        <v>0.33</v>
      </c>
      <c r="D20" s="13">
        <f>1-B20-C20</f>
        <v/>
      </c>
      <c r="E20" s="11">
        <f>参数!$B$2+参数!$B$3*(A20-1)</f>
        <v/>
      </c>
      <c r="F20" s="11">
        <f>F19+AE19</f>
        <v/>
      </c>
      <c r="G20" s="14">
        <f>1+参数!$B$17*(S19-1)</f>
        <v/>
      </c>
      <c r="H20" s="11">
        <f>F20*G20</f>
        <v/>
      </c>
      <c r="I20" s="11">
        <f>E20/参数!$B$4</f>
        <v/>
      </c>
      <c r="J20" s="11">
        <f>MIN(H20,I20)</f>
        <v/>
      </c>
      <c r="K20" s="15">
        <f>IF(I20&lt;H20,"⚡受限","")</f>
        <v/>
      </c>
      <c r="L20" s="11">
        <f>J20*B20</f>
        <v/>
      </c>
      <c r="M20" s="11">
        <f>参数!$B$10*参数!$B$11*(1+参数!$B$19*W19)*AA19</f>
        <v/>
      </c>
      <c r="N20" s="11">
        <f>T19+M20</f>
        <v/>
      </c>
      <c r="O20" s="11">
        <f>L20*参数!$B$13</f>
        <v/>
      </c>
      <c r="P20" s="13">
        <f>IF(O20=0,1,MIN(1,N20/O20))</f>
        <v/>
      </c>
      <c r="Q20" s="11">
        <f>L20*P20</f>
        <v/>
      </c>
      <c r="R20" s="11">
        <f>R19+Q20</f>
        <v/>
      </c>
      <c r="S20" s="11">
        <f>1+IF(R20&gt;=参数!$B$14,1,0)+IF(R20&gt;=参数!$B$15,1,0)+IF(R20&gt;=参数!$B$16,1,0)</f>
        <v/>
      </c>
      <c r="T20" s="11">
        <f>N20-O20*P20</f>
        <v/>
      </c>
      <c r="U20" s="11">
        <f>J20*D20</f>
        <v/>
      </c>
      <c r="V20" s="11">
        <f>V19+U20</f>
        <v/>
      </c>
      <c r="W20" s="11">
        <f>INT(V20/参数!$B$18)</f>
        <v/>
      </c>
      <c r="X20" s="11">
        <f>J20*C20</f>
        <v/>
      </c>
      <c r="Y20" s="11">
        <f>参数!$B$20+参数!$B$21*(A20-1)</f>
        <v/>
      </c>
      <c r="Z20" s="13">
        <f>MIN(1,X20/Y20)</f>
        <v/>
      </c>
      <c r="AA20" s="14">
        <f>参数!$B$22+(1-参数!$B$22)*Z20</f>
        <v/>
      </c>
      <c r="AB20" s="11">
        <f>参数!$B$9*(1+参数!$B$19*W19)*AA19</f>
        <v/>
      </c>
      <c r="AC20" s="11">
        <f>AF19+AB20</f>
        <v/>
      </c>
      <c r="AD20" s="11">
        <f>MIN(AC20,参数!$B$7)</f>
        <v/>
      </c>
      <c r="AE20" s="11">
        <f>AD20/参数!$B$6</f>
        <v/>
      </c>
      <c r="AF20" s="11">
        <f>AC20-AD20</f>
        <v/>
      </c>
      <c r="AG20" s="11">
        <f>X20*G20</f>
        <v/>
      </c>
    </row>
    <row r="21">
      <c r="A21" s="11" t="n">
        <v>18</v>
      </c>
      <c r="B21" s="12" t="n">
        <v>0.34</v>
      </c>
      <c r="C21" s="12" t="n">
        <v>0.33</v>
      </c>
      <c r="D21" s="13">
        <f>1-B21-C21</f>
        <v/>
      </c>
      <c r="E21" s="11">
        <f>参数!$B$2+参数!$B$3*(A21-1)</f>
        <v/>
      </c>
      <c r="F21" s="11">
        <f>F20+AE20</f>
        <v/>
      </c>
      <c r="G21" s="14">
        <f>1+参数!$B$17*(S20-1)</f>
        <v/>
      </c>
      <c r="H21" s="11">
        <f>F21*G21</f>
        <v/>
      </c>
      <c r="I21" s="11">
        <f>E21/参数!$B$4</f>
        <v/>
      </c>
      <c r="J21" s="11">
        <f>MIN(H21,I21)</f>
        <v/>
      </c>
      <c r="K21" s="15">
        <f>IF(I21&lt;H21,"⚡受限","")</f>
        <v/>
      </c>
      <c r="L21" s="11">
        <f>J21*B21</f>
        <v/>
      </c>
      <c r="M21" s="11">
        <f>参数!$B$10*参数!$B$11*(1+参数!$B$19*W20)*AA20</f>
        <v/>
      </c>
      <c r="N21" s="11">
        <f>T20+M21</f>
        <v/>
      </c>
      <c r="O21" s="11">
        <f>L21*参数!$B$13</f>
        <v/>
      </c>
      <c r="P21" s="13">
        <f>IF(O21=0,1,MIN(1,N21/O21))</f>
        <v/>
      </c>
      <c r="Q21" s="11">
        <f>L21*P21</f>
        <v/>
      </c>
      <c r="R21" s="11">
        <f>R20+Q21</f>
        <v/>
      </c>
      <c r="S21" s="11">
        <f>1+IF(R21&gt;=参数!$B$14,1,0)+IF(R21&gt;=参数!$B$15,1,0)+IF(R21&gt;=参数!$B$16,1,0)</f>
        <v/>
      </c>
      <c r="T21" s="11">
        <f>N21-O21*P21</f>
        <v/>
      </c>
      <c r="U21" s="11">
        <f>J21*D21</f>
        <v/>
      </c>
      <c r="V21" s="11">
        <f>V20+U21</f>
        <v/>
      </c>
      <c r="W21" s="11">
        <f>INT(V21/参数!$B$18)</f>
        <v/>
      </c>
      <c r="X21" s="11">
        <f>J21*C21</f>
        <v/>
      </c>
      <c r="Y21" s="11">
        <f>参数!$B$20+参数!$B$21*(A21-1)</f>
        <v/>
      </c>
      <c r="Z21" s="13">
        <f>MIN(1,X21/Y21)</f>
        <v/>
      </c>
      <c r="AA21" s="14">
        <f>参数!$B$22+(1-参数!$B$22)*Z21</f>
        <v/>
      </c>
      <c r="AB21" s="11">
        <f>参数!$B$9*(1+参数!$B$19*W20)*AA20</f>
        <v/>
      </c>
      <c r="AC21" s="11">
        <f>AF20+AB21</f>
        <v/>
      </c>
      <c r="AD21" s="11">
        <f>MIN(AC21,参数!$B$7)</f>
        <v/>
      </c>
      <c r="AE21" s="11">
        <f>AD21/参数!$B$6</f>
        <v/>
      </c>
      <c r="AF21" s="11">
        <f>AC21-AD21</f>
        <v/>
      </c>
      <c r="AG21" s="11">
        <f>X21*G21</f>
        <v/>
      </c>
    </row>
    <row r="22">
      <c r="A22" s="11" t="n">
        <v>19</v>
      </c>
      <c r="B22" s="12" t="n">
        <v>0.34</v>
      </c>
      <c r="C22" s="12" t="n">
        <v>0.33</v>
      </c>
      <c r="D22" s="13">
        <f>1-B22-C22</f>
        <v/>
      </c>
      <c r="E22" s="11">
        <f>参数!$B$2+参数!$B$3*(A22-1)</f>
        <v/>
      </c>
      <c r="F22" s="11">
        <f>F21+AE21</f>
        <v/>
      </c>
      <c r="G22" s="14">
        <f>1+参数!$B$17*(S21-1)</f>
        <v/>
      </c>
      <c r="H22" s="11">
        <f>F22*G22</f>
        <v/>
      </c>
      <c r="I22" s="11">
        <f>E22/参数!$B$4</f>
        <v/>
      </c>
      <c r="J22" s="11">
        <f>MIN(H22,I22)</f>
        <v/>
      </c>
      <c r="K22" s="15">
        <f>IF(I22&lt;H22,"⚡受限","")</f>
        <v/>
      </c>
      <c r="L22" s="11">
        <f>J22*B22</f>
        <v/>
      </c>
      <c r="M22" s="11">
        <f>参数!$B$10*参数!$B$11*(1+参数!$B$19*W21)*AA21</f>
        <v/>
      </c>
      <c r="N22" s="11">
        <f>T21+M22</f>
        <v/>
      </c>
      <c r="O22" s="11">
        <f>L22*参数!$B$13</f>
        <v/>
      </c>
      <c r="P22" s="13">
        <f>IF(O22=0,1,MIN(1,N22/O22))</f>
        <v/>
      </c>
      <c r="Q22" s="11">
        <f>L22*P22</f>
        <v/>
      </c>
      <c r="R22" s="11">
        <f>R21+Q22</f>
        <v/>
      </c>
      <c r="S22" s="11">
        <f>1+IF(R22&gt;=参数!$B$14,1,0)+IF(R22&gt;=参数!$B$15,1,0)+IF(R22&gt;=参数!$B$16,1,0)</f>
        <v/>
      </c>
      <c r="T22" s="11">
        <f>N22-O22*P22</f>
        <v/>
      </c>
      <c r="U22" s="11">
        <f>J22*D22</f>
        <v/>
      </c>
      <c r="V22" s="11">
        <f>V21+U22</f>
        <v/>
      </c>
      <c r="W22" s="11">
        <f>INT(V22/参数!$B$18)</f>
        <v/>
      </c>
      <c r="X22" s="11">
        <f>J22*C22</f>
        <v/>
      </c>
      <c r="Y22" s="11">
        <f>参数!$B$20+参数!$B$21*(A22-1)</f>
        <v/>
      </c>
      <c r="Z22" s="13">
        <f>MIN(1,X22/Y22)</f>
        <v/>
      </c>
      <c r="AA22" s="14">
        <f>参数!$B$22+(1-参数!$B$22)*Z22</f>
        <v/>
      </c>
      <c r="AB22" s="11">
        <f>参数!$B$9*(1+参数!$B$19*W21)*AA21</f>
        <v/>
      </c>
      <c r="AC22" s="11">
        <f>AF21+AB22</f>
        <v/>
      </c>
      <c r="AD22" s="11">
        <f>MIN(AC22,参数!$B$7)</f>
        <v/>
      </c>
      <c r="AE22" s="11">
        <f>AD22/参数!$B$6</f>
        <v/>
      </c>
      <c r="AF22" s="11">
        <f>AC22-AD22</f>
        <v/>
      </c>
      <c r="AG22" s="11">
        <f>X22*G22</f>
        <v/>
      </c>
    </row>
    <row r="23">
      <c r="A23" s="11" t="n">
        <v>20</v>
      </c>
      <c r="B23" s="12" t="n">
        <v>0.34</v>
      </c>
      <c r="C23" s="12" t="n">
        <v>0.33</v>
      </c>
      <c r="D23" s="13">
        <f>1-B23-C23</f>
        <v/>
      </c>
      <c r="E23" s="11">
        <f>参数!$B$2+参数!$B$3*(A23-1)</f>
        <v/>
      </c>
      <c r="F23" s="11">
        <f>F22+AE22</f>
        <v/>
      </c>
      <c r="G23" s="14">
        <f>1+参数!$B$17*(S22-1)</f>
        <v/>
      </c>
      <c r="H23" s="11">
        <f>F23*G23</f>
        <v/>
      </c>
      <c r="I23" s="11">
        <f>E23/参数!$B$4</f>
        <v/>
      </c>
      <c r="J23" s="11">
        <f>MIN(H23,I23)</f>
        <v/>
      </c>
      <c r="K23" s="15">
        <f>IF(I23&lt;H23,"⚡受限","")</f>
        <v/>
      </c>
      <c r="L23" s="11">
        <f>J23*B23</f>
        <v/>
      </c>
      <c r="M23" s="11">
        <f>参数!$B$10*参数!$B$11*(1+参数!$B$19*W22)*AA22</f>
        <v/>
      </c>
      <c r="N23" s="11">
        <f>T22+M23</f>
        <v/>
      </c>
      <c r="O23" s="11">
        <f>L23*参数!$B$13</f>
        <v/>
      </c>
      <c r="P23" s="13">
        <f>IF(O23=0,1,MIN(1,N23/O23))</f>
        <v/>
      </c>
      <c r="Q23" s="11">
        <f>L23*P23</f>
        <v/>
      </c>
      <c r="R23" s="11">
        <f>R22+Q23</f>
        <v/>
      </c>
      <c r="S23" s="11">
        <f>1+IF(R23&gt;=参数!$B$14,1,0)+IF(R23&gt;=参数!$B$15,1,0)+IF(R23&gt;=参数!$B$16,1,0)</f>
        <v/>
      </c>
      <c r="T23" s="11">
        <f>N23-O23*P23</f>
        <v/>
      </c>
      <c r="U23" s="11">
        <f>J23*D23</f>
        <v/>
      </c>
      <c r="V23" s="11">
        <f>V22+U23</f>
        <v/>
      </c>
      <c r="W23" s="11">
        <f>INT(V23/参数!$B$18)</f>
        <v/>
      </c>
      <c r="X23" s="11">
        <f>J23*C23</f>
        <v/>
      </c>
      <c r="Y23" s="11">
        <f>参数!$B$20+参数!$B$21*(A23-1)</f>
        <v/>
      </c>
      <c r="Z23" s="13">
        <f>MIN(1,X23/Y23)</f>
        <v/>
      </c>
      <c r="AA23" s="14">
        <f>参数!$B$22+(1-参数!$B$22)*Z23</f>
        <v/>
      </c>
      <c r="AB23" s="11">
        <f>参数!$B$9*(1+参数!$B$19*W22)*AA22</f>
        <v/>
      </c>
      <c r="AC23" s="11">
        <f>AF22+AB23</f>
        <v/>
      </c>
      <c r="AD23" s="11">
        <f>MIN(AC23,参数!$B$7)</f>
        <v/>
      </c>
      <c r="AE23" s="11">
        <f>AD23/参数!$B$6</f>
        <v/>
      </c>
      <c r="AF23" s="11">
        <f>AC23-AD23</f>
        <v/>
      </c>
      <c r="AG23" s="11">
        <f>X23*G23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8.5" customWidth="1" min="32" max="32"/>
    <col width="8.5" customWidth="1" min="33" max="33"/>
  </cols>
  <sheetData>
    <row r="1">
      <c r="A1" s="10" t="inlineStr">
        <is>
          <t>情景B奇点 —— 奇点冲刺流：算力压倒性投入训练（训练 65% / 推理 20% / 研发 15%）</t>
        </is>
      </c>
    </row>
    <row r="2">
      <c r="A2" s="7" t="inlineStr">
        <is>
          <t>蓝色列逐回合可调；其余全部为公式</t>
        </is>
      </c>
    </row>
    <row r="3" ht="30" customHeight="1">
      <c r="A3" s="4" t="inlineStr">
        <is>
          <t>回合</t>
        </is>
      </c>
      <c r="B3" s="4" t="inlineStr">
        <is>
          <t>训练%</t>
        </is>
      </c>
      <c r="C3" s="4" t="inlineStr">
        <is>
          <t>推理%</t>
        </is>
      </c>
      <c r="D3" s="4" t="inlineStr">
        <is>
          <t>研发%
(自动)</t>
        </is>
      </c>
      <c r="E3" s="4" t="inlineStr">
        <is>
          <t>电力
供给</t>
        </is>
      </c>
      <c r="F3" s="4" t="inlineStr">
        <is>
          <t>数据中心
容量</t>
        </is>
      </c>
      <c r="G3" s="4" t="inlineStr">
        <is>
          <t>代际
系数</t>
        </is>
      </c>
      <c r="H3" s="4" t="inlineStr">
        <is>
          <t>理论
算力</t>
        </is>
      </c>
      <c r="I3" s="4" t="inlineStr">
        <is>
          <t>电力上限
算力</t>
        </is>
      </c>
      <c r="J3" s="4" t="inlineStr">
        <is>
          <t>实际
算力</t>
        </is>
      </c>
      <c r="K3" s="4" t="inlineStr">
        <is>
          <t>电力
受限</t>
        </is>
      </c>
      <c r="L3" s="4" t="inlineStr">
        <is>
          <t>训练
算力</t>
        </is>
      </c>
      <c r="M3" s="4" t="inlineStr">
        <is>
          <t>数据
产出</t>
        </is>
      </c>
      <c r="N3" s="4" t="inlineStr">
        <is>
          <t>可用
数据</t>
        </is>
      </c>
      <c r="O3" s="4" t="inlineStr">
        <is>
          <t>训练需
数据</t>
        </is>
      </c>
      <c r="P3" s="4" t="inlineStr">
        <is>
          <t>数据
满足率</t>
        </is>
      </c>
      <c r="Q3" s="4" t="inlineStr">
        <is>
          <t>有效
训练</t>
        </is>
      </c>
      <c r="R3" s="4" t="inlineStr">
        <is>
          <t>累积
训练</t>
        </is>
      </c>
      <c r="S3" s="4" t="inlineStr">
        <is>
          <t>代际</t>
        </is>
      </c>
      <c r="T3" s="4" t="inlineStr">
        <is>
          <t>数据池
余量</t>
        </is>
      </c>
      <c r="U3" s="4" t="inlineStr">
        <is>
          <t>研发
算力</t>
        </is>
      </c>
      <c r="V3" s="4" t="inlineStr">
        <is>
          <t>科技点</t>
        </is>
      </c>
      <c r="W3" s="4" t="inlineStr">
        <is>
          <t>科技
等级</t>
        </is>
      </c>
      <c r="X3" s="4" t="inlineStr">
        <is>
          <t>推理
算力</t>
        </is>
      </c>
      <c r="Y3" s="4" t="inlineStr">
        <is>
          <t>推理
需求</t>
        </is>
      </c>
      <c r="Z3" s="4" t="inlineStr">
        <is>
          <t>推理
供给率</t>
        </is>
      </c>
      <c r="AA3" s="4" t="inlineStr">
        <is>
          <t>经济
系数</t>
        </is>
      </c>
      <c r="AB3" s="4" t="inlineStr">
        <is>
          <t>芯片
产出</t>
        </is>
      </c>
      <c r="AC3" s="4" t="inlineStr">
        <is>
          <t>芯片
可用</t>
        </is>
      </c>
      <c r="AD3" s="4" t="inlineStr">
        <is>
          <t>芯片
投资</t>
        </is>
      </c>
      <c r="AE3" s="4" t="inlineStr">
        <is>
          <t>新增容量
(次回合)</t>
        </is>
      </c>
      <c r="AF3" s="4" t="inlineStr">
        <is>
          <t>芯片
库存</t>
        </is>
      </c>
      <c r="AG3" s="4" t="inlineStr">
        <is>
          <t>军力
指数</t>
        </is>
      </c>
    </row>
    <row r="4">
      <c r="A4" s="11" t="n">
        <v>1</v>
      </c>
      <c r="B4" s="12" t="n">
        <v>0.65</v>
      </c>
      <c r="C4" s="12" t="n">
        <v>0.2</v>
      </c>
      <c r="D4" s="13">
        <f>1-B4-C4</f>
        <v/>
      </c>
      <c r="E4" s="11">
        <f>参数!$B$2+参数!$B$3*(A4-1)</f>
        <v/>
      </c>
      <c r="F4" s="11">
        <f>参数!$B$5</f>
        <v/>
      </c>
      <c r="G4" s="14">
        <f>1</f>
        <v/>
      </c>
      <c r="H4" s="11">
        <f>F4*G4</f>
        <v/>
      </c>
      <c r="I4" s="11">
        <f>E4/参数!$B$4</f>
        <v/>
      </c>
      <c r="J4" s="11">
        <f>MIN(H4,I4)</f>
        <v/>
      </c>
      <c r="K4" s="15">
        <f>IF(I4&lt;H4,"⚡受限","")</f>
        <v/>
      </c>
      <c r="L4" s="11">
        <f>J4*B4</f>
        <v/>
      </c>
      <c r="M4" s="11">
        <f>参数!$B$10*参数!$B$11</f>
        <v/>
      </c>
      <c r="N4" s="11">
        <f>参数!$B$12+M4</f>
        <v/>
      </c>
      <c r="O4" s="11">
        <f>L4*参数!$B$13</f>
        <v/>
      </c>
      <c r="P4" s="13">
        <f>IF(O4=0,1,MIN(1,N4/O4))</f>
        <v/>
      </c>
      <c r="Q4" s="11">
        <f>L4*P4</f>
        <v/>
      </c>
      <c r="R4" s="11">
        <f>Q4</f>
        <v/>
      </c>
      <c r="S4" s="11">
        <f>1+IF(R4&gt;=参数!$B$14,1,0)+IF(R4&gt;=参数!$B$15,1,0)+IF(R4&gt;=参数!$B$16,1,0)</f>
        <v/>
      </c>
      <c r="T4" s="11">
        <f>N4-O4*P4</f>
        <v/>
      </c>
      <c r="U4" s="11">
        <f>J4*D4</f>
        <v/>
      </c>
      <c r="V4" s="11">
        <f>U4</f>
        <v/>
      </c>
      <c r="W4" s="11">
        <f>INT(V4/参数!$B$18)</f>
        <v/>
      </c>
      <c r="X4" s="11">
        <f>J4*C4</f>
        <v/>
      </c>
      <c r="Y4" s="11">
        <f>参数!$B$20+参数!$B$21*(A4-1)</f>
        <v/>
      </c>
      <c r="Z4" s="13">
        <f>MIN(1,X4/Y4)</f>
        <v/>
      </c>
      <c r="AA4" s="14">
        <f>参数!$B$22+(1-参数!$B$22)*Z4</f>
        <v/>
      </c>
      <c r="AB4" s="11">
        <f>参数!$B$9</f>
        <v/>
      </c>
      <c r="AC4" s="11">
        <f>参数!$B$8+AB4</f>
        <v/>
      </c>
      <c r="AD4" s="11">
        <f>MIN(AC4,参数!$B$7)</f>
        <v/>
      </c>
      <c r="AE4" s="11">
        <f>AD4/参数!$B$6</f>
        <v/>
      </c>
      <c r="AF4" s="11">
        <f>AC4-AD4</f>
        <v/>
      </c>
      <c r="AG4" s="11">
        <f>X4*G4</f>
        <v/>
      </c>
    </row>
    <row r="5">
      <c r="A5" s="11" t="n">
        <v>2</v>
      </c>
      <c r="B5" s="12" t="n">
        <v>0.65</v>
      </c>
      <c r="C5" s="12" t="n">
        <v>0.2</v>
      </c>
      <c r="D5" s="13">
        <f>1-B5-C5</f>
        <v/>
      </c>
      <c r="E5" s="11">
        <f>参数!$B$2+参数!$B$3*(A5-1)</f>
        <v/>
      </c>
      <c r="F5" s="11">
        <f>F4+AE4</f>
        <v/>
      </c>
      <c r="G5" s="14">
        <f>1+参数!$B$17*(S4-1)</f>
        <v/>
      </c>
      <c r="H5" s="11">
        <f>F5*G5</f>
        <v/>
      </c>
      <c r="I5" s="11">
        <f>E5/参数!$B$4</f>
        <v/>
      </c>
      <c r="J5" s="11">
        <f>MIN(H5,I5)</f>
        <v/>
      </c>
      <c r="K5" s="15">
        <f>IF(I5&lt;H5,"⚡受限","")</f>
        <v/>
      </c>
      <c r="L5" s="11">
        <f>J5*B5</f>
        <v/>
      </c>
      <c r="M5" s="11">
        <f>参数!$B$10*参数!$B$11*(1+参数!$B$19*W4)*AA4</f>
        <v/>
      </c>
      <c r="N5" s="11">
        <f>T4+M5</f>
        <v/>
      </c>
      <c r="O5" s="11">
        <f>L5*参数!$B$13</f>
        <v/>
      </c>
      <c r="P5" s="13">
        <f>IF(O5=0,1,MIN(1,N5/O5))</f>
        <v/>
      </c>
      <c r="Q5" s="11">
        <f>L5*P5</f>
        <v/>
      </c>
      <c r="R5" s="11">
        <f>R4+Q5</f>
        <v/>
      </c>
      <c r="S5" s="11">
        <f>1+IF(R5&gt;=参数!$B$14,1,0)+IF(R5&gt;=参数!$B$15,1,0)+IF(R5&gt;=参数!$B$16,1,0)</f>
        <v/>
      </c>
      <c r="T5" s="11">
        <f>N5-O5*P5</f>
        <v/>
      </c>
      <c r="U5" s="11">
        <f>J5*D5</f>
        <v/>
      </c>
      <c r="V5" s="11">
        <f>V4+U5</f>
        <v/>
      </c>
      <c r="W5" s="11">
        <f>INT(V5/参数!$B$18)</f>
        <v/>
      </c>
      <c r="X5" s="11">
        <f>J5*C5</f>
        <v/>
      </c>
      <c r="Y5" s="11">
        <f>参数!$B$20+参数!$B$21*(A5-1)</f>
        <v/>
      </c>
      <c r="Z5" s="13">
        <f>MIN(1,X5/Y5)</f>
        <v/>
      </c>
      <c r="AA5" s="14">
        <f>参数!$B$22+(1-参数!$B$22)*Z5</f>
        <v/>
      </c>
      <c r="AB5" s="11">
        <f>参数!$B$9*(1+参数!$B$19*W4)*AA4</f>
        <v/>
      </c>
      <c r="AC5" s="11">
        <f>AF4+AB5</f>
        <v/>
      </c>
      <c r="AD5" s="11">
        <f>MIN(AC5,参数!$B$7)</f>
        <v/>
      </c>
      <c r="AE5" s="11">
        <f>AD5/参数!$B$6</f>
        <v/>
      </c>
      <c r="AF5" s="11">
        <f>AC5-AD5</f>
        <v/>
      </c>
      <c r="AG5" s="11">
        <f>X5*G5</f>
        <v/>
      </c>
    </row>
    <row r="6">
      <c r="A6" s="11" t="n">
        <v>3</v>
      </c>
      <c r="B6" s="12" t="n">
        <v>0.65</v>
      </c>
      <c r="C6" s="12" t="n">
        <v>0.2</v>
      </c>
      <c r="D6" s="13">
        <f>1-B6-C6</f>
        <v/>
      </c>
      <c r="E6" s="11">
        <f>参数!$B$2+参数!$B$3*(A6-1)</f>
        <v/>
      </c>
      <c r="F6" s="11">
        <f>F5+AE5</f>
        <v/>
      </c>
      <c r="G6" s="14">
        <f>1+参数!$B$17*(S5-1)</f>
        <v/>
      </c>
      <c r="H6" s="11">
        <f>F6*G6</f>
        <v/>
      </c>
      <c r="I6" s="11">
        <f>E6/参数!$B$4</f>
        <v/>
      </c>
      <c r="J6" s="11">
        <f>MIN(H6,I6)</f>
        <v/>
      </c>
      <c r="K6" s="15">
        <f>IF(I6&lt;H6,"⚡受限","")</f>
        <v/>
      </c>
      <c r="L6" s="11">
        <f>J6*B6</f>
        <v/>
      </c>
      <c r="M6" s="11">
        <f>参数!$B$10*参数!$B$11*(1+参数!$B$19*W5)*AA5</f>
        <v/>
      </c>
      <c r="N6" s="11">
        <f>T5+M6</f>
        <v/>
      </c>
      <c r="O6" s="11">
        <f>L6*参数!$B$13</f>
        <v/>
      </c>
      <c r="P6" s="13">
        <f>IF(O6=0,1,MIN(1,N6/O6))</f>
        <v/>
      </c>
      <c r="Q6" s="11">
        <f>L6*P6</f>
        <v/>
      </c>
      <c r="R6" s="11">
        <f>R5+Q6</f>
        <v/>
      </c>
      <c r="S6" s="11">
        <f>1+IF(R6&gt;=参数!$B$14,1,0)+IF(R6&gt;=参数!$B$15,1,0)+IF(R6&gt;=参数!$B$16,1,0)</f>
        <v/>
      </c>
      <c r="T6" s="11">
        <f>N6-O6*P6</f>
        <v/>
      </c>
      <c r="U6" s="11">
        <f>J6*D6</f>
        <v/>
      </c>
      <c r="V6" s="11">
        <f>V5+U6</f>
        <v/>
      </c>
      <c r="W6" s="11">
        <f>INT(V6/参数!$B$18)</f>
        <v/>
      </c>
      <c r="X6" s="11">
        <f>J6*C6</f>
        <v/>
      </c>
      <c r="Y6" s="11">
        <f>参数!$B$20+参数!$B$21*(A6-1)</f>
        <v/>
      </c>
      <c r="Z6" s="13">
        <f>MIN(1,X6/Y6)</f>
        <v/>
      </c>
      <c r="AA6" s="14">
        <f>参数!$B$22+(1-参数!$B$22)*Z6</f>
        <v/>
      </c>
      <c r="AB6" s="11">
        <f>参数!$B$9*(1+参数!$B$19*W5)*AA5</f>
        <v/>
      </c>
      <c r="AC6" s="11">
        <f>AF5+AB6</f>
        <v/>
      </c>
      <c r="AD6" s="11">
        <f>MIN(AC6,参数!$B$7)</f>
        <v/>
      </c>
      <c r="AE6" s="11">
        <f>AD6/参数!$B$6</f>
        <v/>
      </c>
      <c r="AF6" s="11">
        <f>AC6-AD6</f>
        <v/>
      </c>
      <c r="AG6" s="11">
        <f>X6*G6</f>
        <v/>
      </c>
    </row>
    <row r="7">
      <c r="A7" s="11" t="n">
        <v>4</v>
      </c>
      <c r="B7" s="12" t="n">
        <v>0.65</v>
      </c>
      <c r="C7" s="12" t="n">
        <v>0.2</v>
      </c>
      <c r="D7" s="13">
        <f>1-B7-C7</f>
        <v/>
      </c>
      <c r="E7" s="11">
        <f>参数!$B$2+参数!$B$3*(A7-1)</f>
        <v/>
      </c>
      <c r="F7" s="11">
        <f>F6+AE6</f>
        <v/>
      </c>
      <c r="G7" s="14">
        <f>1+参数!$B$17*(S6-1)</f>
        <v/>
      </c>
      <c r="H7" s="11">
        <f>F7*G7</f>
        <v/>
      </c>
      <c r="I7" s="11">
        <f>E7/参数!$B$4</f>
        <v/>
      </c>
      <c r="J7" s="11">
        <f>MIN(H7,I7)</f>
        <v/>
      </c>
      <c r="K7" s="15">
        <f>IF(I7&lt;H7,"⚡受限","")</f>
        <v/>
      </c>
      <c r="L7" s="11">
        <f>J7*B7</f>
        <v/>
      </c>
      <c r="M7" s="11">
        <f>参数!$B$10*参数!$B$11*(1+参数!$B$19*W6)*AA6</f>
        <v/>
      </c>
      <c r="N7" s="11">
        <f>T6+M7</f>
        <v/>
      </c>
      <c r="O7" s="11">
        <f>L7*参数!$B$13</f>
        <v/>
      </c>
      <c r="P7" s="13">
        <f>IF(O7=0,1,MIN(1,N7/O7))</f>
        <v/>
      </c>
      <c r="Q7" s="11">
        <f>L7*P7</f>
        <v/>
      </c>
      <c r="R7" s="11">
        <f>R6+Q7</f>
        <v/>
      </c>
      <c r="S7" s="11">
        <f>1+IF(R7&gt;=参数!$B$14,1,0)+IF(R7&gt;=参数!$B$15,1,0)+IF(R7&gt;=参数!$B$16,1,0)</f>
        <v/>
      </c>
      <c r="T7" s="11">
        <f>N7-O7*P7</f>
        <v/>
      </c>
      <c r="U7" s="11">
        <f>J7*D7</f>
        <v/>
      </c>
      <c r="V7" s="11">
        <f>V6+U7</f>
        <v/>
      </c>
      <c r="W7" s="11">
        <f>INT(V7/参数!$B$18)</f>
        <v/>
      </c>
      <c r="X7" s="11">
        <f>J7*C7</f>
        <v/>
      </c>
      <c r="Y7" s="11">
        <f>参数!$B$20+参数!$B$21*(A7-1)</f>
        <v/>
      </c>
      <c r="Z7" s="13">
        <f>MIN(1,X7/Y7)</f>
        <v/>
      </c>
      <c r="AA7" s="14">
        <f>参数!$B$22+(1-参数!$B$22)*Z7</f>
        <v/>
      </c>
      <c r="AB7" s="11">
        <f>参数!$B$9*(1+参数!$B$19*W6)*AA6</f>
        <v/>
      </c>
      <c r="AC7" s="11">
        <f>AF6+AB7</f>
        <v/>
      </c>
      <c r="AD7" s="11">
        <f>MIN(AC7,参数!$B$7)</f>
        <v/>
      </c>
      <c r="AE7" s="11">
        <f>AD7/参数!$B$6</f>
        <v/>
      </c>
      <c r="AF7" s="11">
        <f>AC7-AD7</f>
        <v/>
      </c>
      <c r="AG7" s="11">
        <f>X7*G7</f>
        <v/>
      </c>
    </row>
    <row r="8">
      <c r="A8" s="11" t="n">
        <v>5</v>
      </c>
      <c r="B8" s="12" t="n">
        <v>0.65</v>
      </c>
      <c r="C8" s="12" t="n">
        <v>0.2</v>
      </c>
      <c r="D8" s="13">
        <f>1-B8-C8</f>
        <v/>
      </c>
      <c r="E8" s="11">
        <f>参数!$B$2+参数!$B$3*(A8-1)</f>
        <v/>
      </c>
      <c r="F8" s="11">
        <f>F7+AE7</f>
        <v/>
      </c>
      <c r="G8" s="14">
        <f>1+参数!$B$17*(S7-1)</f>
        <v/>
      </c>
      <c r="H8" s="11">
        <f>F8*G8</f>
        <v/>
      </c>
      <c r="I8" s="11">
        <f>E8/参数!$B$4</f>
        <v/>
      </c>
      <c r="J8" s="11">
        <f>MIN(H8,I8)</f>
        <v/>
      </c>
      <c r="K8" s="15">
        <f>IF(I8&lt;H8,"⚡受限","")</f>
        <v/>
      </c>
      <c r="L8" s="11">
        <f>J8*B8</f>
        <v/>
      </c>
      <c r="M8" s="11">
        <f>参数!$B$10*参数!$B$11*(1+参数!$B$19*W7)*AA7</f>
        <v/>
      </c>
      <c r="N8" s="11">
        <f>T7+M8</f>
        <v/>
      </c>
      <c r="O8" s="11">
        <f>L8*参数!$B$13</f>
        <v/>
      </c>
      <c r="P8" s="13">
        <f>IF(O8=0,1,MIN(1,N8/O8))</f>
        <v/>
      </c>
      <c r="Q8" s="11">
        <f>L8*P8</f>
        <v/>
      </c>
      <c r="R8" s="11">
        <f>R7+Q8</f>
        <v/>
      </c>
      <c r="S8" s="11">
        <f>1+IF(R8&gt;=参数!$B$14,1,0)+IF(R8&gt;=参数!$B$15,1,0)+IF(R8&gt;=参数!$B$16,1,0)</f>
        <v/>
      </c>
      <c r="T8" s="11">
        <f>N8-O8*P8</f>
        <v/>
      </c>
      <c r="U8" s="11">
        <f>J8*D8</f>
        <v/>
      </c>
      <c r="V8" s="11">
        <f>V7+U8</f>
        <v/>
      </c>
      <c r="W8" s="11">
        <f>INT(V8/参数!$B$18)</f>
        <v/>
      </c>
      <c r="X8" s="11">
        <f>J8*C8</f>
        <v/>
      </c>
      <c r="Y8" s="11">
        <f>参数!$B$20+参数!$B$21*(A8-1)</f>
        <v/>
      </c>
      <c r="Z8" s="13">
        <f>MIN(1,X8/Y8)</f>
        <v/>
      </c>
      <c r="AA8" s="14">
        <f>参数!$B$22+(1-参数!$B$22)*Z8</f>
        <v/>
      </c>
      <c r="AB8" s="11">
        <f>参数!$B$9*(1+参数!$B$19*W7)*AA7</f>
        <v/>
      </c>
      <c r="AC8" s="11">
        <f>AF7+AB8</f>
        <v/>
      </c>
      <c r="AD8" s="11">
        <f>MIN(AC8,参数!$B$7)</f>
        <v/>
      </c>
      <c r="AE8" s="11">
        <f>AD8/参数!$B$6</f>
        <v/>
      </c>
      <c r="AF8" s="11">
        <f>AC8-AD8</f>
        <v/>
      </c>
      <c r="AG8" s="11">
        <f>X8*G8</f>
        <v/>
      </c>
    </row>
    <row r="9">
      <c r="A9" s="11" t="n">
        <v>6</v>
      </c>
      <c r="B9" s="12" t="n">
        <v>0.65</v>
      </c>
      <c r="C9" s="12" t="n">
        <v>0.2</v>
      </c>
      <c r="D9" s="13">
        <f>1-B9-C9</f>
        <v/>
      </c>
      <c r="E9" s="11">
        <f>参数!$B$2+参数!$B$3*(A9-1)</f>
        <v/>
      </c>
      <c r="F9" s="11">
        <f>F8+AE8</f>
        <v/>
      </c>
      <c r="G9" s="14">
        <f>1+参数!$B$17*(S8-1)</f>
        <v/>
      </c>
      <c r="H9" s="11">
        <f>F9*G9</f>
        <v/>
      </c>
      <c r="I9" s="11">
        <f>E9/参数!$B$4</f>
        <v/>
      </c>
      <c r="J9" s="11">
        <f>MIN(H9,I9)</f>
        <v/>
      </c>
      <c r="K9" s="15">
        <f>IF(I9&lt;H9,"⚡受限","")</f>
        <v/>
      </c>
      <c r="L9" s="11">
        <f>J9*B9</f>
        <v/>
      </c>
      <c r="M9" s="11">
        <f>参数!$B$10*参数!$B$11*(1+参数!$B$19*W8)*AA8</f>
        <v/>
      </c>
      <c r="N9" s="11">
        <f>T8+M9</f>
        <v/>
      </c>
      <c r="O9" s="11">
        <f>L9*参数!$B$13</f>
        <v/>
      </c>
      <c r="P9" s="13">
        <f>IF(O9=0,1,MIN(1,N9/O9))</f>
        <v/>
      </c>
      <c r="Q9" s="11">
        <f>L9*P9</f>
        <v/>
      </c>
      <c r="R9" s="11">
        <f>R8+Q9</f>
        <v/>
      </c>
      <c r="S9" s="11">
        <f>1+IF(R9&gt;=参数!$B$14,1,0)+IF(R9&gt;=参数!$B$15,1,0)+IF(R9&gt;=参数!$B$16,1,0)</f>
        <v/>
      </c>
      <c r="T9" s="11">
        <f>N9-O9*P9</f>
        <v/>
      </c>
      <c r="U9" s="11">
        <f>J9*D9</f>
        <v/>
      </c>
      <c r="V9" s="11">
        <f>V8+U9</f>
        <v/>
      </c>
      <c r="W9" s="11">
        <f>INT(V9/参数!$B$18)</f>
        <v/>
      </c>
      <c r="X9" s="11">
        <f>J9*C9</f>
        <v/>
      </c>
      <c r="Y9" s="11">
        <f>参数!$B$20+参数!$B$21*(A9-1)</f>
        <v/>
      </c>
      <c r="Z9" s="13">
        <f>MIN(1,X9/Y9)</f>
        <v/>
      </c>
      <c r="AA9" s="14">
        <f>参数!$B$22+(1-参数!$B$22)*Z9</f>
        <v/>
      </c>
      <c r="AB9" s="11">
        <f>参数!$B$9*(1+参数!$B$19*W8)*AA8</f>
        <v/>
      </c>
      <c r="AC9" s="11">
        <f>AF8+AB9</f>
        <v/>
      </c>
      <c r="AD9" s="11">
        <f>MIN(AC9,参数!$B$7)</f>
        <v/>
      </c>
      <c r="AE9" s="11">
        <f>AD9/参数!$B$6</f>
        <v/>
      </c>
      <c r="AF9" s="11">
        <f>AC9-AD9</f>
        <v/>
      </c>
      <c r="AG9" s="11">
        <f>X9*G9</f>
        <v/>
      </c>
    </row>
    <row r="10">
      <c r="A10" s="11" t="n">
        <v>7</v>
      </c>
      <c r="B10" s="12" t="n">
        <v>0.65</v>
      </c>
      <c r="C10" s="12" t="n">
        <v>0.2</v>
      </c>
      <c r="D10" s="13">
        <f>1-B10-C10</f>
        <v/>
      </c>
      <c r="E10" s="11">
        <f>参数!$B$2+参数!$B$3*(A10-1)</f>
        <v/>
      </c>
      <c r="F10" s="11">
        <f>F9+AE9</f>
        <v/>
      </c>
      <c r="G10" s="14">
        <f>1+参数!$B$17*(S9-1)</f>
        <v/>
      </c>
      <c r="H10" s="11">
        <f>F10*G10</f>
        <v/>
      </c>
      <c r="I10" s="11">
        <f>E10/参数!$B$4</f>
        <v/>
      </c>
      <c r="J10" s="11">
        <f>MIN(H10,I10)</f>
        <v/>
      </c>
      <c r="K10" s="15">
        <f>IF(I10&lt;H10,"⚡受限","")</f>
        <v/>
      </c>
      <c r="L10" s="11">
        <f>J10*B10</f>
        <v/>
      </c>
      <c r="M10" s="11">
        <f>参数!$B$10*参数!$B$11*(1+参数!$B$19*W9)*AA9</f>
        <v/>
      </c>
      <c r="N10" s="11">
        <f>T9+M10</f>
        <v/>
      </c>
      <c r="O10" s="11">
        <f>L10*参数!$B$13</f>
        <v/>
      </c>
      <c r="P10" s="13">
        <f>IF(O10=0,1,MIN(1,N10/O10))</f>
        <v/>
      </c>
      <c r="Q10" s="11">
        <f>L10*P10</f>
        <v/>
      </c>
      <c r="R10" s="11">
        <f>R9+Q10</f>
        <v/>
      </c>
      <c r="S10" s="11">
        <f>1+IF(R10&gt;=参数!$B$14,1,0)+IF(R10&gt;=参数!$B$15,1,0)+IF(R10&gt;=参数!$B$16,1,0)</f>
        <v/>
      </c>
      <c r="T10" s="11">
        <f>N10-O10*P10</f>
        <v/>
      </c>
      <c r="U10" s="11">
        <f>J10*D10</f>
        <v/>
      </c>
      <c r="V10" s="11">
        <f>V9+U10</f>
        <v/>
      </c>
      <c r="W10" s="11">
        <f>INT(V10/参数!$B$18)</f>
        <v/>
      </c>
      <c r="X10" s="11">
        <f>J10*C10</f>
        <v/>
      </c>
      <c r="Y10" s="11">
        <f>参数!$B$20+参数!$B$21*(A10-1)</f>
        <v/>
      </c>
      <c r="Z10" s="13">
        <f>MIN(1,X10/Y10)</f>
        <v/>
      </c>
      <c r="AA10" s="14">
        <f>参数!$B$22+(1-参数!$B$22)*Z10</f>
        <v/>
      </c>
      <c r="AB10" s="11">
        <f>参数!$B$9*(1+参数!$B$19*W9)*AA9</f>
        <v/>
      </c>
      <c r="AC10" s="11">
        <f>AF9+AB10</f>
        <v/>
      </c>
      <c r="AD10" s="11">
        <f>MIN(AC10,参数!$B$7)</f>
        <v/>
      </c>
      <c r="AE10" s="11">
        <f>AD10/参数!$B$6</f>
        <v/>
      </c>
      <c r="AF10" s="11">
        <f>AC10-AD10</f>
        <v/>
      </c>
      <c r="AG10" s="11">
        <f>X10*G10</f>
        <v/>
      </c>
    </row>
    <row r="11">
      <c r="A11" s="11" t="n">
        <v>8</v>
      </c>
      <c r="B11" s="12" t="n">
        <v>0.65</v>
      </c>
      <c r="C11" s="12" t="n">
        <v>0.2</v>
      </c>
      <c r="D11" s="13">
        <f>1-B11-C11</f>
        <v/>
      </c>
      <c r="E11" s="11">
        <f>参数!$B$2+参数!$B$3*(A11-1)</f>
        <v/>
      </c>
      <c r="F11" s="11">
        <f>F10+AE10</f>
        <v/>
      </c>
      <c r="G11" s="14">
        <f>1+参数!$B$17*(S10-1)</f>
        <v/>
      </c>
      <c r="H11" s="11">
        <f>F11*G11</f>
        <v/>
      </c>
      <c r="I11" s="11">
        <f>E11/参数!$B$4</f>
        <v/>
      </c>
      <c r="J11" s="11">
        <f>MIN(H11,I11)</f>
        <v/>
      </c>
      <c r="K11" s="15">
        <f>IF(I11&lt;H11,"⚡受限","")</f>
        <v/>
      </c>
      <c r="L11" s="11">
        <f>J11*B11</f>
        <v/>
      </c>
      <c r="M11" s="11">
        <f>参数!$B$10*参数!$B$11*(1+参数!$B$19*W10)*AA10</f>
        <v/>
      </c>
      <c r="N11" s="11">
        <f>T10+M11</f>
        <v/>
      </c>
      <c r="O11" s="11">
        <f>L11*参数!$B$13</f>
        <v/>
      </c>
      <c r="P11" s="13">
        <f>IF(O11=0,1,MIN(1,N11/O11))</f>
        <v/>
      </c>
      <c r="Q11" s="11">
        <f>L11*P11</f>
        <v/>
      </c>
      <c r="R11" s="11">
        <f>R10+Q11</f>
        <v/>
      </c>
      <c r="S11" s="11">
        <f>1+IF(R11&gt;=参数!$B$14,1,0)+IF(R11&gt;=参数!$B$15,1,0)+IF(R11&gt;=参数!$B$16,1,0)</f>
        <v/>
      </c>
      <c r="T11" s="11">
        <f>N11-O11*P11</f>
        <v/>
      </c>
      <c r="U11" s="11">
        <f>J11*D11</f>
        <v/>
      </c>
      <c r="V11" s="11">
        <f>V10+U11</f>
        <v/>
      </c>
      <c r="W11" s="11">
        <f>INT(V11/参数!$B$18)</f>
        <v/>
      </c>
      <c r="X11" s="11">
        <f>J11*C11</f>
        <v/>
      </c>
      <c r="Y11" s="11">
        <f>参数!$B$20+参数!$B$21*(A11-1)</f>
        <v/>
      </c>
      <c r="Z11" s="13">
        <f>MIN(1,X11/Y11)</f>
        <v/>
      </c>
      <c r="AA11" s="14">
        <f>参数!$B$22+(1-参数!$B$22)*Z11</f>
        <v/>
      </c>
      <c r="AB11" s="11">
        <f>参数!$B$9*(1+参数!$B$19*W10)*AA10</f>
        <v/>
      </c>
      <c r="AC11" s="11">
        <f>AF10+AB11</f>
        <v/>
      </c>
      <c r="AD11" s="11">
        <f>MIN(AC11,参数!$B$7)</f>
        <v/>
      </c>
      <c r="AE11" s="11">
        <f>AD11/参数!$B$6</f>
        <v/>
      </c>
      <c r="AF11" s="11">
        <f>AC11-AD11</f>
        <v/>
      </c>
      <c r="AG11" s="11">
        <f>X11*G11</f>
        <v/>
      </c>
    </row>
    <row r="12">
      <c r="A12" s="11" t="n">
        <v>9</v>
      </c>
      <c r="B12" s="12" t="n">
        <v>0.65</v>
      </c>
      <c r="C12" s="12" t="n">
        <v>0.2</v>
      </c>
      <c r="D12" s="13">
        <f>1-B12-C12</f>
        <v/>
      </c>
      <c r="E12" s="11">
        <f>参数!$B$2+参数!$B$3*(A12-1)</f>
        <v/>
      </c>
      <c r="F12" s="11">
        <f>F11+AE11</f>
        <v/>
      </c>
      <c r="G12" s="14">
        <f>1+参数!$B$17*(S11-1)</f>
        <v/>
      </c>
      <c r="H12" s="11">
        <f>F12*G12</f>
        <v/>
      </c>
      <c r="I12" s="11">
        <f>E12/参数!$B$4</f>
        <v/>
      </c>
      <c r="J12" s="11">
        <f>MIN(H12,I12)</f>
        <v/>
      </c>
      <c r="K12" s="15">
        <f>IF(I12&lt;H12,"⚡受限","")</f>
        <v/>
      </c>
      <c r="L12" s="11">
        <f>J12*B12</f>
        <v/>
      </c>
      <c r="M12" s="11">
        <f>参数!$B$10*参数!$B$11*(1+参数!$B$19*W11)*AA11</f>
        <v/>
      </c>
      <c r="N12" s="11">
        <f>T11+M12</f>
        <v/>
      </c>
      <c r="O12" s="11">
        <f>L12*参数!$B$13</f>
        <v/>
      </c>
      <c r="P12" s="13">
        <f>IF(O12=0,1,MIN(1,N12/O12))</f>
        <v/>
      </c>
      <c r="Q12" s="11">
        <f>L12*P12</f>
        <v/>
      </c>
      <c r="R12" s="11">
        <f>R11+Q12</f>
        <v/>
      </c>
      <c r="S12" s="11">
        <f>1+IF(R12&gt;=参数!$B$14,1,0)+IF(R12&gt;=参数!$B$15,1,0)+IF(R12&gt;=参数!$B$16,1,0)</f>
        <v/>
      </c>
      <c r="T12" s="11">
        <f>N12-O12*P12</f>
        <v/>
      </c>
      <c r="U12" s="11">
        <f>J12*D12</f>
        <v/>
      </c>
      <c r="V12" s="11">
        <f>V11+U12</f>
        <v/>
      </c>
      <c r="W12" s="11">
        <f>INT(V12/参数!$B$18)</f>
        <v/>
      </c>
      <c r="X12" s="11">
        <f>J12*C12</f>
        <v/>
      </c>
      <c r="Y12" s="11">
        <f>参数!$B$20+参数!$B$21*(A12-1)</f>
        <v/>
      </c>
      <c r="Z12" s="13">
        <f>MIN(1,X12/Y12)</f>
        <v/>
      </c>
      <c r="AA12" s="14">
        <f>参数!$B$22+(1-参数!$B$22)*Z12</f>
        <v/>
      </c>
      <c r="AB12" s="11">
        <f>参数!$B$9*(1+参数!$B$19*W11)*AA11</f>
        <v/>
      </c>
      <c r="AC12" s="11">
        <f>AF11+AB12</f>
        <v/>
      </c>
      <c r="AD12" s="11">
        <f>MIN(AC12,参数!$B$7)</f>
        <v/>
      </c>
      <c r="AE12" s="11">
        <f>AD12/参数!$B$6</f>
        <v/>
      </c>
      <c r="AF12" s="11">
        <f>AC12-AD12</f>
        <v/>
      </c>
      <c r="AG12" s="11">
        <f>X12*G12</f>
        <v/>
      </c>
    </row>
    <row r="13">
      <c r="A13" s="11" t="n">
        <v>10</v>
      </c>
      <c r="B13" s="12" t="n">
        <v>0.65</v>
      </c>
      <c r="C13" s="12" t="n">
        <v>0.2</v>
      </c>
      <c r="D13" s="13">
        <f>1-B13-C13</f>
        <v/>
      </c>
      <c r="E13" s="11">
        <f>参数!$B$2+参数!$B$3*(A13-1)</f>
        <v/>
      </c>
      <c r="F13" s="11">
        <f>F12+AE12</f>
        <v/>
      </c>
      <c r="G13" s="14">
        <f>1+参数!$B$17*(S12-1)</f>
        <v/>
      </c>
      <c r="H13" s="11">
        <f>F13*G13</f>
        <v/>
      </c>
      <c r="I13" s="11">
        <f>E13/参数!$B$4</f>
        <v/>
      </c>
      <c r="J13" s="11">
        <f>MIN(H13,I13)</f>
        <v/>
      </c>
      <c r="K13" s="15">
        <f>IF(I13&lt;H13,"⚡受限","")</f>
        <v/>
      </c>
      <c r="L13" s="11">
        <f>J13*B13</f>
        <v/>
      </c>
      <c r="M13" s="11">
        <f>参数!$B$10*参数!$B$11*(1+参数!$B$19*W12)*AA12</f>
        <v/>
      </c>
      <c r="N13" s="11">
        <f>T12+M13</f>
        <v/>
      </c>
      <c r="O13" s="11">
        <f>L13*参数!$B$13</f>
        <v/>
      </c>
      <c r="P13" s="13">
        <f>IF(O13=0,1,MIN(1,N13/O13))</f>
        <v/>
      </c>
      <c r="Q13" s="11">
        <f>L13*P13</f>
        <v/>
      </c>
      <c r="R13" s="11">
        <f>R12+Q13</f>
        <v/>
      </c>
      <c r="S13" s="11">
        <f>1+IF(R13&gt;=参数!$B$14,1,0)+IF(R13&gt;=参数!$B$15,1,0)+IF(R13&gt;=参数!$B$16,1,0)</f>
        <v/>
      </c>
      <c r="T13" s="11">
        <f>N13-O13*P13</f>
        <v/>
      </c>
      <c r="U13" s="11">
        <f>J13*D13</f>
        <v/>
      </c>
      <c r="V13" s="11">
        <f>V12+U13</f>
        <v/>
      </c>
      <c r="W13" s="11">
        <f>INT(V13/参数!$B$18)</f>
        <v/>
      </c>
      <c r="X13" s="11">
        <f>J13*C13</f>
        <v/>
      </c>
      <c r="Y13" s="11">
        <f>参数!$B$20+参数!$B$21*(A13-1)</f>
        <v/>
      </c>
      <c r="Z13" s="13">
        <f>MIN(1,X13/Y13)</f>
        <v/>
      </c>
      <c r="AA13" s="14">
        <f>参数!$B$22+(1-参数!$B$22)*Z13</f>
        <v/>
      </c>
      <c r="AB13" s="11">
        <f>参数!$B$9*(1+参数!$B$19*W12)*AA12</f>
        <v/>
      </c>
      <c r="AC13" s="11">
        <f>AF12+AB13</f>
        <v/>
      </c>
      <c r="AD13" s="11">
        <f>MIN(AC13,参数!$B$7)</f>
        <v/>
      </c>
      <c r="AE13" s="11">
        <f>AD13/参数!$B$6</f>
        <v/>
      </c>
      <c r="AF13" s="11">
        <f>AC13-AD13</f>
        <v/>
      </c>
      <c r="AG13" s="11">
        <f>X13*G13</f>
        <v/>
      </c>
    </row>
    <row r="14">
      <c r="A14" s="11" t="n">
        <v>11</v>
      </c>
      <c r="B14" s="12" t="n">
        <v>0.65</v>
      </c>
      <c r="C14" s="12" t="n">
        <v>0.2</v>
      </c>
      <c r="D14" s="13">
        <f>1-B14-C14</f>
        <v/>
      </c>
      <c r="E14" s="11">
        <f>参数!$B$2+参数!$B$3*(A14-1)</f>
        <v/>
      </c>
      <c r="F14" s="11">
        <f>F13+AE13</f>
        <v/>
      </c>
      <c r="G14" s="14">
        <f>1+参数!$B$17*(S13-1)</f>
        <v/>
      </c>
      <c r="H14" s="11">
        <f>F14*G14</f>
        <v/>
      </c>
      <c r="I14" s="11">
        <f>E14/参数!$B$4</f>
        <v/>
      </c>
      <c r="J14" s="11">
        <f>MIN(H14,I14)</f>
        <v/>
      </c>
      <c r="K14" s="15">
        <f>IF(I14&lt;H14,"⚡受限","")</f>
        <v/>
      </c>
      <c r="L14" s="11">
        <f>J14*B14</f>
        <v/>
      </c>
      <c r="M14" s="11">
        <f>参数!$B$10*参数!$B$11*(1+参数!$B$19*W13)*AA13</f>
        <v/>
      </c>
      <c r="N14" s="11">
        <f>T13+M14</f>
        <v/>
      </c>
      <c r="O14" s="11">
        <f>L14*参数!$B$13</f>
        <v/>
      </c>
      <c r="P14" s="13">
        <f>IF(O14=0,1,MIN(1,N14/O14))</f>
        <v/>
      </c>
      <c r="Q14" s="11">
        <f>L14*P14</f>
        <v/>
      </c>
      <c r="R14" s="11">
        <f>R13+Q14</f>
        <v/>
      </c>
      <c r="S14" s="11">
        <f>1+IF(R14&gt;=参数!$B$14,1,0)+IF(R14&gt;=参数!$B$15,1,0)+IF(R14&gt;=参数!$B$16,1,0)</f>
        <v/>
      </c>
      <c r="T14" s="11">
        <f>N14-O14*P14</f>
        <v/>
      </c>
      <c r="U14" s="11">
        <f>J14*D14</f>
        <v/>
      </c>
      <c r="V14" s="11">
        <f>V13+U14</f>
        <v/>
      </c>
      <c r="W14" s="11">
        <f>INT(V14/参数!$B$18)</f>
        <v/>
      </c>
      <c r="X14" s="11">
        <f>J14*C14</f>
        <v/>
      </c>
      <c r="Y14" s="11">
        <f>参数!$B$20+参数!$B$21*(A14-1)</f>
        <v/>
      </c>
      <c r="Z14" s="13">
        <f>MIN(1,X14/Y14)</f>
        <v/>
      </c>
      <c r="AA14" s="14">
        <f>参数!$B$22+(1-参数!$B$22)*Z14</f>
        <v/>
      </c>
      <c r="AB14" s="11">
        <f>参数!$B$9*(1+参数!$B$19*W13)*AA13</f>
        <v/>
      </c>
      <c r="AC14" s="11">
        <f>AF13+AB14</f>
        <v/>
      </c>
      <c r="AD14" s="11">
        <f>MIN(AC14,参数!$B$7)</f>
        <v/>
      </c>
      <c r="AE14" s="11">
        <f>AD14/参数!$B$6</f>
        <v/>
      </c>
      <c r="AF14" s="11">
        <f>AC14-AD14</f>
        <v/>
      </c>
      <c r="AG14" s="11">
        <f>X14*G14</f>
        <v/>
      </c>
    </row>
    <row r="15">
      <c r="A15" s="11" t="n">
        <v>12</v>
      </c>
      <c r="B15" s="12" t="n">
        <v>0.65</v>
      </c>
      <c r="C15" s="12" t="n">
        <v>0.2</v>
      </c>
      <c r="D15" s="13">
        <f>1-B15-C15</f>
        <v/>
      </c>
      <c r="E15" s="11">
        <f>参数!$B$2+参数!$B$3*(A15-1)</f>
        <v/>
      </c>
      <c r="F15" s="11">
        <f>F14+AE14</f>
        <v/>
      </c>
      <c r="G15" s="14">
        <f>1+参数!$B$17*(S14-1)</f>
        <v/>
      </c>
      <c r="H15" s="11">
        <f>F15*G15</f>
        <v/>
      </c>
      <c r="I15" s="11">
        <f>E15/参数!$B$4</f>
        <v/>
      </c>
      <c r="J15" s="11">
        <f>MIN(H15,I15)</f>
        <v/>
      </c>
      <c r="K15" s="15">
        <f>IF(I15&lt;H15,"⚡受限","")</f>
        <v/>
      </c>
      <c r="L15" s="11">
        <f>J15*B15</f>
        <v/>
      </c>
      <c r="M15" s="11">
        <f>参数!$B$10*参数!$B$11*(1+参数!$B$19*W14)*AA14</f>
        <v/>
      </c>
      <c r="N15" s="11">
        <f>T14+M15</f>
        <v/>
      </c>
      <c r="O15" s="11">
        <f>L15*参数!$B$13</f>
        <v/>
      </c>
      <c r="P15" s="13">
        <f>IF(O15=0,1,MIN(1,N15/O15))</f>
        <v/>
      </c>
      <c r="Q15" s="11">
        <f>L15*P15</f>
        <v/>
      </c>
      <c r="R15" s="11">
        <f>R14+Q15</f>
        <v/>
      </c>
      <c r="S15" s="11">
        <f>1+IF(R15&gt;=参数!$B$14,1,0)+IF(R15&gt;=参数!$B$15,1,0)+IF(R15&gt;=参数!$B$16,1,0)</f>
        <v/>
      </c>
      <c r="T15" s="11">
        <f>N15-O15*P15</f>
        <v/>
      </c>
      <c r="U15" s="11">
        <f>J15*D15</f>
        <v/>
      </c>
      <c r="V15" s="11">
        <f>V14+U15</f>
        <v/>
      </c>
      <c r="W15" s="11">
        <f>INT(V15/参数!$B$18)</f>
        <v/>
      </c>
      <c r="X15" s="11">
        <f>J15*C15</f>
        <v/>
      </c>
      <c r="Y15" s="11">
        <f>参数!$B$20+参数!$B$21*(A15-1)</f>
        <v/>
      </c>
      <c r="Z15" s="13">
        <f>MIN(1,X15/Y15)</f>
        <v/>
      </c>
      <c r="AA15" s="14">
        <f>参数!$B$22+(1-参数!$B$22)*Z15</f>
        <v/>
      </c>
      <c r="AB15" s="11">
        <f>参数!$B$9*(1+参数!$B$19*W14)*AA14</f>
        <v/>
      </c>
      <c r="AC15" s="11">
        <f>AF14+AB15</f>
        <v/>
      </c>
      <c r="AD15" s="11">
        <f>MIN(AC15,参数!$B$7)</f>
        <v/>
      </c>
      <c r="AE15" s="11">
        <f>AD15/参数!$B$6</f>
        <v/>
      </c>
      <c r="AF15" s="11">
        <f>AC15-AD15</f>
        <v/>
      </c>
      <c r="AG15" s="11">
        <f>X15*G15</f>
        <v/>
      </c>
    </row>
    <row r="16">
      <c r="A16" s="11" t="n">
        <v>13</v>
      </c>
      <c r="B16" s="12" t="n">
        <v>0.65</v>
      </c>
      <c r="C16" s="12" t="n">
        <v>0.2</v>
      </c>
      <c r="D16" s="13">
        <f>1-B16-C16</f>
        <v/>
      </c>
      <c r="E16" s="11">
        <f>参数!$B$2+参数!$B$3*(A16-1)</f>
        <v/>
      </c>
      <c r="F16" s="11">
        <f>F15+AE15</f>
        <v/>
      </c>
      <c r="G16" s="14">
        <f>1+参数!$B$17*(S15-1)</f>
        <v/>
      </c>
      <c r="H16" s="11">
        <f>F16*G16</f>
        <v/>
      </c>
      <c r="I16" s="11">
        <f>E16/参数!$B$4</f>
        <v/>
      </c>
      <c r="J16" s="11">
        <f>MIN(H16,I16)</f>
        <v/>
      </c>
      <c r="K16" s="15">
        <f>IF(I16&lt;H16,"⚡受限","")</f>
        <v/>
      </c>
      <c r="L16" s="11">
        <f>J16*B16</f>
        <v/>
      </c>
      <c r="M16" s="11">
        <f>参数!$B$10*参数!$B$11*(1+参数!$B$19*W15)*AA15</f>
        <v/>
      </c>
      <c r="N16" s="11">
        <f>T15+M16</f>
        <v/>
      </c>
      <c r="O16" s="11">
        <f>L16*参数!$B$13</f>
        <v/>
      </c>
      <c r="P16" s="13">
        <f>IF(O16=0,1,MIN(1,N16/O16))</f>
        <v/>
      </c>
      <c r="Q16" s="11">
        <f>L16*P16</f>
        <v/>
      </c>
      <c r="R16" s="11">
        <f>R15+Q16</f>
        <v/>
      </c>
      <c r="S16" s="11">
        <f>1+IF(R16&gt;=参数!$B$14,1,0)+IF(R16&gt;=参数!$B$15,1,0)+IF(R16&gt;=参数!$B$16,1,0)</f>
        <v/>
      </c>
      <c r="T16" s="11">
        <f>N16-O16*P16</f>
        <v/>
      </c>
      <c r="U16" s="11">
        <f>J16*D16</f>
        <v/>
      </c>
      <c r="V16" s="11">
        <f>V15+U16</f>
        <v/>
      </c>
      <c r="W16" s="11">
        <f>INT(V16/参数!$B$18)</f>
        <v/>
      </c>
      <c r="X16" s="11">
        <f>J16*C16</f>
        <v/>
      </c>
      <c r="Y16" s="11">
        <f>参数!$B$20+参数!$B$21*(A16-1)</f>
        <v/>
      </c>
      <c r="Z16" s="13">
        <f>MIN(1,X16/Y16)</f>
        <v/>
      </c>
      <c r="AA16" s="14">
        <f>参数!$B$22+(1-参数!$B$22)*Z16</f>
        <v/>
      </c>
      <c r="AB16" s="11">
        <f>参数!$B$9*(1+参数!$B$19*W15)*AA15</f>
        <v/>
      </c>
      <c r="AC16" s="11">
        <f>AF15+AB16</f>
        <v/>
      </c>
      <c r="AD16" s="11">
        <f>MIN(AC16,参数!$B$7)</f>
        <v/>
      </c>
      <c r="AE16" s="11">
        <f>AD16/参数!$B$6</f>
        <v/>
      </c>
      <c r="AF16" s="11">
        <f>AC16-AD16</f>
        <v/>
      </c>
      <c r="AG16" s="11">
        <f>X16*G16</f>
        <v/>
      </c>
    </row>
    <row r="17">
      <c r="A17" s="11" t="n">
        <v>14</v>
      </c>
      <c r="B17" s="12" t="n">
        <v>0.65</v>
      </c>
      <c r="C17" s="12" t="n">
        <v>0.2</v>
      </c>
      <c r="D17" s="13">
        <f>1-B17-C17</f>
        <v/>
      </c>
      <c r="E17" s="11">
        <f>参数!$B$2+参数!$B$3*(A17-1)</f>
        <v/>
      </c>
      <c r="F17" s="11">
        <f>F16+AE16</f>
        <v/>
      </c>
      <c r="G17" s="14">
        <f>1+参数!$B$17*(S16-1)</f>
        <v/>
      </c>
      <c r="H17" s="11">
        <f>F17*G17</f>
        <v/>
      </c>
      <c r="I17" s="11">
        <f>E17/参数!$B$4</f>
        <v/>
      </c>
      <c r="J17" s="11">
        <f>MIN(H17,I17)</f>
        <v/>
      </c>
      <c r="K17" s="15">
        <f>IF(I17&lt;H17,"⚡受限","")</f>
        <v/>
      </c>
      <c r="L17" s="11">
        <f>J17*B17</f>
        <v/>
      </c>
      <c r="M17" s="11">
        <f>参数!$B$10*参数!$B$11*(1+参数!$B$19*W16)*AA16</f>
        <v/>
      </c>
      <c r="N17" s="11">
        <f>T16+M17</f>
        <v/>
      </c>
      <c r="O17" s="11">
        <f>L17*参数!$B$13</f>
        <v/>
      </c>
      <c r="P17" s="13">
        <f>IF(O17=0,1,MIN(1,N17/O17))</f>
        <v/>
      </c>
      <c r="Q17" s="11">
        <f>L17*P17</f>
        <v/>
      </c>
      <c r="R17" s="11">
        <f>R16+Q17</f>
        <v/>
      </c>
      <c r="S17" s="11">
        <f>1+IF(R17&gt;=参数!$B$14,1,0)+IF(R17&gt;=参数!$B$15,1,0)+IF(R17&gt;=参数!$B$16,1,0)</f>
        <v/>
      </c>
      <c r="T17" s="11">
        <f>N17-O17*P17</f>
        <v/>
      </c>
      <c r="U17" s="11">
        <f>J17*D17</f>
        <v/>
      </c>
      <c r="V17" s="11">
        <f>V16+U17</f>
        <v/>
      </c>
      <c r="W17" s="11">
        <f>INT(V17/参数!$B$18)</f>
        <v/>
      </c>
      <c r="X17" s="11">
        <f>J17*C17</f>
        <v/>
      </c>
      <c r="Y17" s="11">
        <f>参数!$B$20+参数!$B$21*(A17-1)</f>
        <v/>
      </c>
      <c r="Z17" s="13">
        <f>MIN(1,X17/Y17)</f>
        <v/>
      </c>
      <c r="AA17" s="14">
        <f>参数!$B$22+(1-参数!$B$22)*Z17</f>
        <v/>
      </c>
      <c r="AB17" s="11">
        <f>参数!$B$9*(1+参数!$B$19*W16)*AA16</f>
        <v/>
      </c>
      <c r="AC17" s="11">
        <f>AF16+AB17</f>
        <v/>
      </c>
      <c r="AD17" s="11">
        <f>MIN(AC17,参数!$B$7)</f>
        <v/>
      </c>
      <c r="AE17" s="11">
        <f>AD17/参数!$B$6</f>
        <v/>
      </c>
      <c r="AF17" s="11">
        <f>AC17-AD17</f>
        <v/>
      </c>
      <c r="AG17" s="11">
        <f>X17*G17</f>
        <v/>
      </c>
    </row>
    <row r="18">
      <c r="A18" s="11" t="n">
        <v>15</v>
      </c>
      <c r="B18" s="12" t="n">
        <v>0.65</v>
      </c>
      <c r="C18" s="12" t="n">
        <v>0.2</v>
      </c>
      <c r="D18" s="13">
        <f>1-B18-C18</f>
        <v/>
      </c>
      <c r="E18" s="11">
        <f>参数!$B$2+参数!$B$3*(A18-1)</f>
        <v/>
      </c>
      <c r="F18" s="11">
        <f>F17+AE17</f>
        <v/>
      </c>
      <c r="G18" s="14">
        <f>1+参数!$B$17*(S17-1)</f>
        <v/>
      </c>
      <c r="H18" s="11">
        <f>F18*G18</f>
        <v/>
      </c>
      <c r="I18" s="11">
        <f>E18/参数!$B$4</f>
        <v/>
      </c>
      <c r="J18" s="11">
        <f>MIN(H18,I18)</f>
        <v/>
      </c>
      <c r="K18" s="15">
        <f>IF(I18&lt;H18,"⚡受限","")</f>
        <v/>
      </c>
      <c r="L18" s="11">
        <f>J18*B18</f>
        <v/>
      </c>
      <c r="M18" s="11">
        <f>参数!$B$10*参数!$B$11*(1+参数!$B$19*W17)*AA17</f>
        <v/>
      </c>
      <c r="N18" s="11">
        <f>T17+M18</f>
        <v/>
      </c>
      <c r="O18" s="11">
        <f>L18*参数!$B$13</f>
        <v/>
      </c>
      <c r="P18" s="13">
        <f>IF(O18=0,1,MIN(1,N18/O18))</f>
        <v/>
      </c>
      <c r="Q18" s="11">
        <f>L18*P18</f>
        <v/>
      </c>
      <c r="R18" s="11">
        <f>R17+Q18</f>
        <v/>
      </c>
      <c r="S18" s="11">
        <f>1+IF(R18&gt;=参数!$B$14,1,0)+IF(R18&gt;=参数!$B$15,1,0)+IF(R18&gt;=参数!$B$16,1,0)</f>
        <v/>
      </c>
      <c r="T18" s="11">
        <f>N18-O18*P18</f>
        <v/>
      </c>
      <c r="U18" s="11">
        <f>J18*D18</f>
        <v/>
      </c>
      <c r="V18" s="11">
        <f>V17+U18</f>
        <v/>
      </c>
      <c r="W18" s="11">
        <f>INT(V18/参数!$B$18)</f>
        <v/>
      </c>
      <c r="X18" s="11">
        <f>J18*C18</f>
        <v/>
      </c>
      <c r="Y18" s="11">
        <f>参数!$B$20+参数!$B$21*(A18-1)</f>
        <v/>
      </c>
      <c r="Z18" s="13">
        <f>MIN(1,X18/Y18)</f>
        <v/>
      </c>
      <c r="AA18" s="14">
        <f>参数!$B$22+(1-参数!$B$22)*Z18</f>
        <v/>
      </c>
      <c r="AB18" s="11">
        <f>参数!$B$9*(1+参数!$B$19*W17)*AA17</f>
        <v/>
      </c>
      <c r="AC18" s="11">
        <f>AF17+AB18</f>
        <v/>
      </c>
      <c r="AD18" s="11">
        <f>MIN(AC18,参数!$B$7)</f>
        <v/>
      </c>
      <c r="AE18" s="11">
        <f>AD18/参数!$B$6</f>
        <v/>
      </c>
      <c r="AF18" s="11">
        <f>AC18-AD18</f>
        <v/>
      </c>
      <c r="AG18" s="11">
        <f>X18*G18</f>
        <v/>
      </c>
    </row>
    <row r="19">
      <c r="A19" s="11" t="n">
        <v>16</v>
      </c>
      <c r="B19" s="12" t="n">
        <v>0.65</v>
      </c>
      <c r="C19" s="12" t="n">
        <v>0.2</v>
      </c>
      <c r="D19" s="13">
        <f>1-B19-C19</f>
        <v/>
      </c>
      <c r="E19" s="11">
        <f>参数!$B$2+参数!$B$3*(A19-1)</f>
        <v/>
      </c>
      <c r="F19" s="11">
        <f>F18+AE18</f>
        <v/>
      </c>
      <c r="G19" s="14">
        <f>1+参数!$B$17*(S18-1)</f>
        <v/>
      </c>
      <c r="H19" s="11">
        <f>F19*G19</f>
        <v/>
      </c>
      <c r="I19" s="11">
        <f>E19/参数!$B$4</f>
        <v/>
      </c>
      <c r="J19" s="11">
        <f>MIN(H19,I19)</f>
        <v/>
      </c>
      <c r="K19" s="15">
        <f>IF(I19&lt;H19,"⚡受限","")</f>
        <v/>
      </c>
      <c r="L19" s="11">
        <f>J19*B19</f>
        <v/>
      </c>
      <c r="M19" s="11">
        <f>参数!$B$10*参数!$B$11*(1+参数!$B$19*W18)*AA18</f>
        <v/>
      </c>
      <c r="N19" s="11">
        <f>T18+M19</f>
        <v/>
      </c>
      <c r="O19" s="11">
        <f>L19*参数!$B$13</f>
        <v/>
      </c>
      <c r="P19" s="13">
        <f>IF(O19=0,1,MIN(1,N19/O19))</f>
        <v/>
      </c>
      <c r="Q19" s="11">
        <f>L19*P19</f>
        <v/>
      </c>
      <c r="R19" s="11">
        <f>R18+Q19</f>
        <v/>
      </c>
      <c r="S19" s="11">
        <f>1+IF(R19&gt;=参数!$B$14,1,0)+IF(R19&gt;=参数!$B$15,1,0)+IF(R19&gt;=参数!$B$16,1,0)</f>
        <v/>
      </c>
      <c r="T19" s="11">
        <f>N19-O19*P19</f>
        <v/>
      </c>
      <c r="U19" s="11">
        <f>J19*D19</f>
        <v/>
      </c>
      <c r="V19" s="11">
        <f>V18+U19</f>
        <v/>
      </c>
      <c r="W19" s="11">
        <f>INT(V19/参数!$B$18)</f>
        <v/>
      </c>
      <c r="X19" s="11">
        <f>J19*C19</f>
        <v/>
      </c>
      <c r="Y19" s="11">
        <f>参数!$B$20+参数!$B$21*(A19-1)</f>
        <v/>
      </c>
      <c r="Z19" s="13">
        <f>MIN(1,X19/Y19)</f>
        <v/>
      </c>
      <c r="AA19" s="14">
        <f>参数!$B$22+(1-参数!$B$22)*Z19</f>
        <v/>
      </c>
      <c r="AB19" s="11">
        <f>参数!$B$9*(1+参数!$B$19*W18)*AA18</f>
        <v/>
      </c>
      <c r="AC19" s="11">
        <f>AF18+AB19</f>
        <v/>
      </c>
      <c r="AD19" s="11">
        <f>MIN(AC19,参数!$B$7)</f>
        <v/>
      </c>
      <c r="AE19" s="11">
        <f>AD19/参数!$B$6</f>
        <v/>
      </c>
      <c r="AF19" s="11">
        <f>AC19-AD19</f>
        <v/>
      </c>
      <c r="AG19" s="11">
        <f>X19*G19</f>
        <v/>
      </c>
    </row>
    <row r="20">
      <c r="A20" s="11" t="n">
        <v>17</v>
      </c>
      <c r="B20" s="12" t="n">
        <v>0.65</v>
      </c>
      <c r="C20" s="12" t="n">
        <v>0.2</v>
      </c>
      <c r="D20" s="13">
        <f>1-B20-C20</f>
        <v/>
      </c>
      <c r="E20" s="11">
        <f>参数!$B$2+参数!$B$3*(A20-1)</f>
        <v/>
      </c>
      <c r="F20" s="11">
        <f>F19+AE19</f>
        <v/>
      </c>
      <c r="G20" s="14">
        <f>1+参数!$B$17*(S19-1)</f>
        <v/>
      </c>
      <c r="H20" s="11">
        <f>F20*G20</f>
        <v/>
      </c>
      <c r="I20" s="11">
        <f>E20/参数!$B$4</f>
        <v/>
      </c>
      <c r="J20" s="11">
        <f>MIN(H20,I20)</f>
        <v/>
      </c>
      <c r="K20" s="15">
        <f>IF(I20&lt;H20,"⚡受限","")</f>
        <v/>
      </c>
      <c r="L20" s="11">
        <f>J20*B20</f>
        <v/>
      </c>
      <c r="M20" s="11">
        <f>参数!$B$10*参数!$B$11*(1+参数!$B$19*W19)*AA19</f>
        <v/>
      </c>
      <c r="N20" s="11">
        <f>T19+M20</f>
        <v/>
      </c>
      <c r="O20" s="11">
        <f>L20*参数!$B$13</f>
        <v/>
      </c>
      <c r="P20" s="13">
        <f>IF(O20=0,1,MIN(1,N20/O20))</f>
        <v/>
      </c>
      <c r="Q20" s="11">
        <f>L20*P20</f>
        <v/>
      </c>
      <c r="R20" s="11">
        <f>R19+Q20</f>
        <v/>
      </c>
      <c r="S20" s="11">
        <f>1+IF(R20&gt;=参数!$B$14,1,0)+IF(R20&gt;=参数!$B$15,1,0)+IF(R20&gt;=参数!$B$16,1,0)</f>
        <v/>
      </c>
      <c r="T20" s="11">
        <f>N20-O20*P20</f>
        <v/>
      </c>
      <c r="U20" s="11">
        <f>J20*D20</f>
        <v/>
      </c>
      <c r="V20" s="11">
        <f>V19+U20</f>
        <v/>
      </c>
      <c r="W20" s="11">
        <f>INT(V20/参数!$B$18)</f>
        <v/>
      </c>
      <c r="X20" s="11">
        <f>J20*C20</f>
        <v/>
      </c>
      <c r="Y20" s="11">
        <f>参数!$B$20+参数!$B$21*(A20-1)</f>
        <v/>
      </c>
      <c r="Z20" s="13">
        <f>MIN(1,X20/Y20)</f>
        <v/>
      </c>
      <c r="AA20" s="14">
        <f>参数!$B$22+(1-参数!$B$22)*Z20</f>
        <v/>
      </c>
      <c r="AB20" s="11">
        <f>参数!$B$9*(1+参数!$B$19*W19)*AA19</f>
        <v/>
      </c>
      <c r="AC20" s="11">
        <f>AF19+AB20</f>
        <v/>
      </c>
      <c r="AD20" s="11">
        <f>MIN(AC20,参数!$B$7)</f>
        <v/>
      </c>
      <c r="AE20" s="11">
        <f>AD20/参数!$B$6</f>
        <v/>
      </c>
      <c r="AF20" s="11">
        <f>AC20-AD20</f>
        <v/>
      </c>
      <c r="AG20" s="11">
        <f>X20*G20</f>
        <v/>
      </c>
    </row>
    <row r="21">
      <c r="A21" s="11" t="n">
        <v>18</v>
      </c>
      <c r="B21" s="12" t="n">
        <v>0.65</v>
      </c>
      <c r="C21" s="12" t="n">
        <v>0.2</v>
      </c>
      <c r="D21" s="13">
        <f>1-B21-C21</f>
        <v/>
      </c>
      <c r="E21" s="11">
        <f>参数!$B$2+参数!$B$3*(A21-1)</f>
        <v/>
      </c>
      <c r="F21" s="11">
        <f>F20+AE20</f>
        <v/>
      </c>
      <c r="G21" s="14">
        <f>1+参数!$B$17*(S20-1)</f>
        <v/>
      </c>
      <c r="H21" s="11">
        <f>F21*G21</f>
        <v/>
      </c>
      <c r="I21" s="11">
        <f>E21/参数!$B$4</f>
        <v/>
      </c>
      <c r="J21" s="11">
        <f>MIN(H21,I21)</f>
        <v/>
      </c>
      <c r="K21" s="15">
        <f>IF(I21&lt;H21,"⚡受限","")</f>
        <v/>
      </c>
      <c r="L21" s="11">
        <f>J21*B21</f>
        <v/>
      </c>
      <c r="M21" s="11">
        <f>参数!$B$10*参数!$B$11*(1+参数!$B$19*W20)*AA20</f>
        <v/>
      </c>
      <c r="N21" s="11">
        <f>T20+M21</f>
        <v/>
      </c>
      <c r="O21" s="11">
        <f>L21*参数!$B$13</f>
        <v/>
      </c>
      <c r="P21" s="13">
        <f>IF(O21=0,1,MIN(1,N21/O21))</f>
        <v/>
      </c>
      <c r="Q21" s="11">
        <f>L21*P21</f>
        <v/>
      </c>
      <c r="R21" s="11">
        <f>R20+Q21</f>
        <v/>
      </c>
      <c r="S21" s="11">
        <f>1+IF(R21&gt;=参数!$B$14,1,0)+IF(R21&gt;=参数!$B$15,1,0)+IF(R21&gt;=参数!$B$16,1,0)</f>
        <v/>
      </c>
      <c r="T21" s="11">
        <f>N21-O21*P21</f>
        <v/>
      </c>
      <c r="U21" s="11">
        <f>J21*D21</f>
        <v/>
      </c>
      <c r="V21" s="11">
        <f>V20+U21</f>
        <v/>
      </c>
      <c r="W21" s="11">
        <f>INT(V21/参数!$B$18)</f>
        <v/>
      </c>
      <c r="X21" s="11">
        <f>J21*C21</f>
        <v/>
      </c>
      <c r="Y21" s="11">
        <f>参数!$B$20+参数!$B$21*(A21-1)</f>
        <v/>
      </c>
      <c r="Z21" s="13">
        <f>MIN(1,X21/Y21)</f>
        <v/>
      </c>
      <c r="AA21" s="14">
        <f>参数!$B$22+(1-参数!$B$22)*Z21</f>
        <v/>
      </c>
      <c r="AB21" s="11">
        <f>参数!$B$9*(1+参数!$B$19*W20)*AA20</f>
        <v/>
      </c>
      <c r="AC21" s="11">
        <f>AF20+AB21</f>
        <v/>
      </c>
      <c r="AD21" s="11">
        <f>MIN(AC21,参数!$B$7)</f>
        <v/>
      </c>
      <c r="AE21" s="11">
        <f>AD21/参数!$B$6</f>
        <v/>
      </c>
      <c r="AF21" s="11">
        <f>AC21-AD21</f>
        <v/>
      </c>
      <c r="AG21" s="11">
        <f>X21*G21</f>
        <v/>
      </c>
    </row>
    <row r="22">
      <c r="A22" s="11" t="n">
        <v>19</v>
      </c>
      <c r="B22" s="12" t="n">
        <v>0.65</v>
      </c>
      <c r="C22" s="12" t="n">
        <v>0.2</v>
      </c>
      <c r="D22" s="13">
        <f>1-B22-C22</f>
        <v/>
      </c>
      <c r="E22" s="11">
        <f>参数!$B$2+参数!$B$3*(A22-1)</f>
        <v/>
      </c>
      <c r="F22" s="11">
        <f>F21+AE21</f>
        <v/>
      </c>
      <c r="G22" s="14">
        <f>1+参数!$B$17*(S21-1)</f>
        <v/>
      </c>
      <c r="H22" s="11">
        <f>F22*G22</f>
        <v/>
      </c>
      <c r="I22" s="11">
        <f>E22/参数!$B$4</f>
        <v/>
      </c>
      <c r="J22" s="11">
        <f>MIN(H22,I22)</f>
        <v/>
      </c>
      <c r="K22" s="15">
        <f>IF(I22&lt;H22,"⚡受限","")</f>
        <v/>
      </c>
      <c r="L22" s="11">
        <f>J22*B22</f>
        <v/>
      </c>
      <c r="M22" s="11">
        <f>参数!$B$10*参数!$B$11*(1+参数!$B$19*W21)*AA21</f>
        <v/>
      </c>
      <c r="N22" s="11">
        <f>T21+M22</f>
        <v/>
      </c>
      <c r="O22" s="11">
        <f>L22*参数!$B$13</f>
        <v/>
      </c>
      <c r="P22" s="13">
        <f>IF(O22=0,1,MIN(1,N22/O22))</f>
        <v/>
      </c>
      <c r="Q22" s="11">
        <f>L22*P22</f>
        <v/>
      </c>
      <c r="R22" s="11">
        <f>R21+Q22</f>
        <v/>
      </c>
      <c r="S22" s="11">
        <f>1+IF(R22&gt;=参数!$B$14,1,0)+IF(R22&gt;=参数!$B$15,1,0)+IF(R22&gt;=参数!$B$16,1,0)</f>
        <v/>
      </c>
      <c r="T22" s="11">
        <f>N22-O22*P22</f>
        <v/>
      </c>
      <c r="U22" s="11">
        <f>J22*D22</f>
        <v/>
      </c>
      <c r="V22" s="11">
        <f>V21+U22</f>
        <v/>
      </c>
      <c r="W22" s="11">
        <f>INT(V22/参数!$B$18)</f>
        <v/>
      </c>
      <c r="X22" s="11">
        <f>J22*C22</f>
        <v/>
      </c>
      <c r="Y22" s="11">
        <f>参数!$B$20+参数!$B$21*(A22-1)</f>
        <v/>
      </c>
      <c r="Z22" s="13">
        <f>MIN(1,X22/Y22)</f>
        <v/>
      </c>
      <c r="AA22" s="14">
        <f>参数!$B$22+(1-参数!$B$22)*Z22</f>
        <v/>
      </c>
      <c r="AB22" s="11">
        <f>参数!$B$9*(1+参数!$B$19*W21)*AA21</f>
        <v/>
      </c>
      <c r="AC22" s="11">
        <f>AF21+AB22</f>
        <v/>
      </c>
      <c r="AD22" s="11">
        <f>MIN(AC22,参数!$B$7)</f>
        <v/>
      </c>
      <c r="AE22" s="11">
        <f>AD22/参数!$B$6</f>
        <v/>
      </c>
      <c r="AF22" s="11">
        <f>AC22-AD22</f>
        <v/>
      </c>
      <c r="AG22" s="11">
        <f>X22*G22</f>
        <v/>
      </c>
    </row>
    <row r="23">
      <c r="A23" s="11" t="n">
        <v>20</v>
      </c>
      <c r="B23" s="12" t="n">
        <v>0.65</v>
      </c>
      <c r="C23" s="12" t="n">
        <v>0.2</v>
      </c>
      <c r="D23" s="13">
        <f>1-B23-C23</f>
        <v/>
      </c>
      <c r="E23" s="11">
        <f>参数!$B$2+参数!$B$3*(A23-1)</f>
        <v/>
      </c>
      <c r="F23" s="11">
        <f>F22+AE22</f>
        <v/>
      </c>
      <c r="G23" s="14">
        <f>1+参数!$B$17*(S22-1)</f>
        <v/>
      </c>
      <c r="H23" s="11">
        <f>F23*G23</f>
        <v/>
      </c>
      <c r="I23" s="11">
        <f>E23/参数!$B$4</f>
        <v/>
      </c>
      <c r="J23" s="11">
        <f>MIN(H23,I23)</f>
        <v/>
      </c>
      <c r="K23" s="15">
        <f>IF(I23&lt;H23,"⚡受限","")</f>
        <v/>
      </c>
      <c r="L23" s="11">
        <f>J23*B23</f>
        <v/>
      </c>
      <c r="M23" s="11">
        <f>参数!$B$10*参数!$B$11*(1+参数!$B$19*W22)*AA22</f>
        <v/>
      </c>
      <c r="N23" s="11">
        <f>T22+M23</f>
        <v/>
      </c>
      <c r="O23" s="11">
        <f>L23*参数!$B$13</f>
        <v/>
      </c>
      <c r="P23" s="13">
        <f>IF(O23=0,1,MIN(1,N23/O23))</f>
        <v/>
      </c>
      <c r="Q23" s="11">
        <f>L23*P23</f>
        <v/>
      </c>
      <c r="R23" s="11">
        <f>R22+Q23</f>
        <v/>
      </c>
      <c r="S23" s="11">
        <f>1+IF(R23&gt;=参数!$B$14,1,0)+IF(R23&gt;=参数!$B$15,1,0)+IF(R23&gt;=参数!$B$16,1,0)</f>
        <v/>
      </c>
      <c r="T23" s="11">
        <f>N23-O23*P23</f>
        <v/>
      </c>
      <c r="U23" s="11">
        <f>J23*D23</f>
        <v/>
      </c>
      <c r="V23" s="11">
        <f>V22+U23</f>
        <v/>
      </c>
      <c r="W23" s="11">
        <f>INT(V23/参数!$B$18)</f>
        <v/>
      </c>
      <c r="X23" s="11">
        <f>J23*C23</f>
        <v/>
      </c>
      <c r="Y23" s="11">
        <f>参数!$B$20+参数!$B$21*(A23-1)</f>
        <v/>
      </c>
      <c r="Z23" s="13">
        <f>MIN(1,X23/Y23)</f>
        <v/>
      </c>
      <c r="AA23" s="14">
        <f>参数!$B$22+(1-参数!$B$22)*Z23</f>
        <v/>
      </c>
      <c r="AB23" s="11">
        <f>参数!$B$9*(1+参数!$B$19*W22)*AA22</f>
        <v/>
      </c>
      <c r="AC23" s="11">
        <f>AF22+AB23</f>
        <v/>
      </c>
      <c r="AD23" s="11">
        <f>MIN(AC23,参数!$B$7)</f>
        <v/>
      </c>
      <c r="AE23" s="11">
        <f>AD23/参数!$B$6</f>
        <v/>
      </c>
      <c r="AF23" s="11">
        <f>AC23-AD23</f>
        <v/>
      </c>
      <c r="AG23" s="11">
        <f>X23*G23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8.5" customWidth="1" min="32" max="32"/>
    <col width="8.5" customWidth="1" min="33" max="33"/>
  </cols>
  <sheetData>
    <row r="1">
      <c r="A1" s="10" t="inlineStr">
        <is>
          <t>情景C军备 —— 军备优先流：推理喂饱军队与经济（训练 15% / 推理 65% / 研发 20%）</t>
        </is>
      </c>
    </row>
    <row r="2">
      <c r="A2" s="7" t="inlineStr">
        <is>
          <t>蓝色列逐回合可调；其余全部为公式</t>
        </is>
      </c>
    </row>
    <row r="3" ht="30" customHeight="1">
      <c r="A3" s="4" t="inlineStr">
        <is>
          <t>回合</t>
        </is>
      </c>
      <c r="B3" s="4" t="inlineStr">
        <is>
          <t>训练%</t>
        </is>
      </c>
      <c r="C3" s="4" t="inlineStr">
        <is>
          <t>推理%</t>
        </is>
      </c>
      <c r="D3" s="4" t="inlineStr">
        <is>
          <t>研发%
(自动)</t>
        </is>
      </c>
      <c r="E3" s="4" t="inlineStr">
        <is>
          <t>电力
供给</t>
        </is>
      </c>
      <c r="F3" s="4" t="inlineStr">
        <is>
          <t>数据中心
容量</t>
        </is>
      </c>
      <c r="G3" s="4" t="inlineStr">
        <is>
          <t>代际
系数</t>
        </is>
      </c>
      <c r="H3" s="4" t="inlineStr">
        <is>
          <t>理论
算力</t>
        </is>
      </c>
      <c r="I3" s="4" t="inlineStr">
        <is>
          <t>电力上限
算力</t>
        </is>
      </c>
      <c r="J3" s="4" t="inlineStr">
        <is>
          <t>实际
算力</t>
        </is>
      </c>
      <c r="K3" s="4" t="inlineStr">
        <is>
          <t>电力
受限</t>
        </is>
      </c>
      <c r="L3" s="4" t="inlineStr">
        <is>
          <t>训练
算力</t>
        </is>
      </c>
      <c r="M3" s="4" t="inlineStr">
        <is>
          <t>数据
产出</t>
        </is>
      </c>
      <c r="N3" s="4" t="inlineStr">
        <is>
          <t>可用
数据</t>
        </is>
      </c>
      <c r="O3" s="4" t="inlineStr">
        <is>
          <t>训练需
数据</t>
        </is>
      </c>
      <c r="P3" s="4" t="inlineStr">
        <is>
          <t>数据
满足率</t>
        </is>
      </c>
      <c r="Q3" s="4" t="inlineStr">
        <is>
          <t>有效
训练</t>
        </is>
      </c>
      <c r="R3" s="4" t="inlineStr">
        <is>
          <t>累积
训练</t>
        </is>
      </c>
      <c r="S3" s="4" t="inlineStr">
        <is>
          <t>代际</t>
        </is>
      </c>
      <c r="T3" s="4" t="inlineStr">
        <is>
          <t>数据池
余量</t>
        </is>
      </c>
      <c r="U3" s="4" t="inlineStr">
        <is>
          <t>研发
算力</t>
        </is>
      </c>
      <c r="V3" s="4" t="inlineStr">
        <is>
          <t>科技点</t>
        </is>
      </c>
      <c r="W3" s="4" t="inlineStr">
        <is>
          <t>科技
等级</t>
        </is>
      </c>
      <c r="X3" s="4" t="inlineStr">
        <is>
          <t>推理
算力</t>
        </is>
      </c>
      <c r="Y3" s="4" t="inlineStr">
        <is>
          <t>推理
需求</t>
        </is>
      </c>
      <c r="Z3" s="4" t="inlineStr">
        <is>
          <t>推理
供给率</t>
        </is>
      </c>
      <c r="AA3" s="4" t="inlineStr">
        <is>
          <t>经济
系数</t>
        </is>
      </c>
      <c r="AB3" s="4" t="inlineStr">
        <is>
          <t>芯片
产出</t>
        </is>
      </c>
      <c r="AC3" s="4" t="inlineStr">
        <is>
          <t>芯片
可用</t>
        </is>
      </c>
      <c r="AD3" s="4" t="inlineStr">
        <is>
          <t>芯片
投资</t>
        </is>
      </c>
      <c r="AE3" s="4" t="inlineStr">
        <is>
          <t>新增容量
(次回合)</t>
        </is>
      </c>
      <c r="AF3" s="4" t="inlineStr">
        <is>
          <t>芯片
库存</t>
        </is>
      </c>
      <c r="AG3" s="4" t="inlineStr">
        <is>
          <t>军力
指数</t>
        </is>
      </c>
    </row>
    <row r="4">
      <c r="A4" s="11" t="n">
        <v>1</v>
      </c>
      <c r="B4" s="12" t="n">
        <v>0.15</v>
      </c>
      <c r="C4" s="12" t="n">
        <v>0.65</v>
      </c>
      <c r="D4" s="13">
        <f>1-B4-C4</f>
        <v/>
      </c>
      <c r="E4" s="11">
        <f>参数!$B$2+参数!$B$3*(A4-1)</f>
        <v/>
      </c>
      <c r="F4" s="11">
        <f>参数!$B$5</f>
        <v/>
      </c>
      <c r="G4" s="14">
        <f>1</f>
        <v/>
      </c>
      <c r="H4" s="11">
        <f>F4*G4</f>
        <v/>
      </c>
      <c r="I4" s="11">
        <f>E4/参数!$B$4</f>
        <v/>
      </c>
      <c r="J4" s="11">
        <f>MIN(H4,I4)</f>
        <v/>
      </c>
      <c r="K4" s="15">
        <f>IF(I4&lt;H4,"⚡受限","")</f>
        <v/>
      </c>
      <c r="L4" s="11">
        <f>J4*B4</f>
        <v/>
      </c>
      <c r="M4" s="11">
        <f>参数!$B$10*参数!$B$11</f>
        <v/>
      </c>
      <c r="N4" s="11">
        <f>参数!$B$12+M4</f>
        <v/>
      </c>
      <c r="O4" s="11">
        <f>L4*参数!$B$13</f>
        <v/>
      </c>
      <c r="P4" s="13">
        <f>IF(O4=0,1,MIN(1,N4/O4))</f>
        <v/>
      </c>
      <c r="Q4" s="11">
        <f>L4*P4</f>
        <v/>
      </c>
      <c r="R4" s="11">
        <f>Q4</f>
        <v/>
      </c>
      <c r="S4" s="11">
        <f>1+IF(R4&gt;=参数!$B$14,1,0)+IF(R4&gt;=参数!$B$15,1,0)+IF(R4&gt;=参数!$B$16,1,0)</f>
        <v/>
      </c>
      <c r="T4" s="11">
        <f>N4-O4*P4</f>
        <v/>
      </c>
      <c r="U4" s="11">
        <f>J4*D4</f>
        <v/>
      </c>
      <c r="V4" s="11">
        <f>U4</f>
        <v/>
      </c>
      <c r="W4" s="11">
        <f>INT(V4/参数!$B$18)</f>
        <v/>
      </c>
      <c r="X4" s="11">
        <f>J4*C4</f>
        <v/>
      </c>
      <c r="Y4" s="11">
        <f>参数!$B$20+参数!$B$21*(A4-1)</f>
        <v/>
      </c>
      <c r="Z4" s="13">
        <f>MIN(1,X4/Y4)</f>
        <v/>
      </c>
      <c r="AA4" s="14">
        <f>参数!$B$22+(1-参数!$B$22)*Z4</f>
        <v/>
      </c>
      <c r="AB4" s="11">
        <f>参数!$B$9</f>
        <v/>
      </c>
      <c r="AC4" s="11">
        <f>参数!$B$8+AB4</f>
        <v/>
      </c>
      <c r="AD4" s="11">
        <f>MIN(AC4,参数!$B$7)</f>
        <v/>
      </c>
      <c r="AE4" s="11">
        <f>AD4/参数!$B$6</f>
        <v/>
      </c>
      <c r="AF4" s="11">
        <f>AC4-AD4</f>
        <v/>
      </c>
      <c r="AG4" s="11">
        <f>X4*G4</f>
        <v/>
      </c>
    </row>
    <row r="5">
      <c r="A5" s="11" t="n">
        <v>2</v>
      </c>
      <c r="B5" s="12" t="n">
        <v>0.15</v>
      </c>
      <c r="C5" s="12" t="n">
        <v>0.65</v>
      </c>
      <c r="D5" s="13">
        <f>1-B5-C5</f>
        <v/>
      </c>
      <c r="E5" s="11">
        <f>参数!$B$2+参数!$B$3*(A5-1)</f>
        <v/>
      </c>
      <c r="F5" s="11">
        <f>F4+AE4</f>
        <v/>
      </c>
      <c r="G5" s="14">
        <f>1+参数!$B$17*(S4-1)</f>
        <v/>
      </c>
      <c r="H5" s="11">
        <f>F5*G5</f>
        <v/>
      </c>
      <c r="I5" s="11">
        <f>E5/参数!$B$4</f>
        <v/>
      </c>
      <c r="J5" s="11">
        <f>MIN(H5,I5)</f>
        <v/>
      </c>
      <c r="K5" s="15">
        <f>IF(I5&lt;H5,"⚡受限","")</f>
        <v/>
      </c>
      <c r="L5" s="11">
        <f>J5*B5</f>
        <v/>
      </c>
      <c r="M5" s="11">
        <f>参数!$B$10*参数!$B$11*(1+参数!$B$19*W4)*AA4</f>
        <v/>
      </c>
      <c r="N5" s="11">
        <f>T4+M5</f>
        <v/>
      </c>
      <c r="O5" s="11">
        <f>L5*参数!$B$13</f>
        <v/>
      </c>
      <c r="P5" s="13">
        <f>IF(O5=0,1,MIN(1,N5/O5))</f>
        <v/>
      </c>
      <c r="Q5" s="11">
        <f>L5*P5</f>
        <v/>
      </c>
      <c r="R5" s="11">
        <f>R4+Q5</f>
        <v/>
      </c>
      <c r="S5" s="11">
        <f>1+IF(R5&gt;=参数!$B$14,1,0)+IF(R5&gt;=参数!$B$15,1,0)+IF(R5&gt;=参数!$B$16,1,0)</f>
        <v/>
      </c>
      <c r="T5" s="11">
        <f>N5-O5*P5</f>
        <v/>
      </c>
      <c r="U5" s="11">
        <f>J5*D5</f>
        <v/>
      </c>
      <c r="V5" s="11">
        <f>V4+U5</f>
        <v/>
      </c>
      <c r="W5" s="11">
        <f>INT(V5/参数!$B$18)</f>
        <v/>
      </c>
      <c r="X5" s="11">
        <f>J5*C5</f>
        <v/>
      </c>
      <c r="Y5" s="11">
        <f>参数!$B$20+参数!$B$21*(A5-1)</f>
        <v/>
      </c>
      <c r="Z5" s="13">
        <f>MIN(1,X5/Y5)</f>
        <v/>
      </c>
      <c r="AA5" s="14">
        <f>参数!$B$22+(1-参数!$B$22)*Z5</f>
        <v/>
      </c>
      <c r="AB5" s="11">
        <f>参数!$B$9*(1+参数!$B$19*W4)*AA4</f>
        <v/>
      </c>
      <c r="AC5" s="11">
        <f>AF4+AB5</f>
        <v/>
      </c>
      <c r="AD5" s="11">
        <f>MIN(AC5,参数!$B$7)</f>
        <v/>
      </c>
      <c r="AE5" s="11">
        <f>AD5/参数!$B$6</f>
        <v/>
      </c>
      <c r="AF5" s="11">
        <f>AC5-AD5</f>
        <v/>
      </c>
      <c r="AG5" s="11">
        <f>X5*G5</f>
        <v/>
      </c>
    </row>
    <row r="6">
      <c r="A6" s="11" t="n">
        <v>3</v>
      </c>
      <c r="B6" s="12" t="n">
        <v>0.15</v>
      </c>
      <c r="C6" s="12" t="n">
        <v>0.65</v>
      </c>
      <c r="D6" s="13">
        <f>1-B6-C6</f>
        <v/>
      </c>
      <c r="E6" s="11">
        <f>参数!$B$2+参数!$B$3*(A6-1)</f>
        <v/>
      </c>
      <c r="F6" s="11">
        <f>F5+AE5</f>
        <v/>
      </c>
      <c r="G6" s="14">
        <f>1+参数!$B$17*(S5-1)</f>
        <v/>
      </c>
      <c r="H6" s="11">
        <f>F6*G6</f>
        <v/>
      </c>
      <c r="I6" s="11">
        <f>E6/参数!$B$4</f>
        <v/>
      </c>
      <c r="J6" s="11">
        <f>MIN(H6,I6)</f>
        <v/>
      </c>
      <c r="K6" s="15">
        <f>IF(I6&lt;H6,"⚡受限","")</f>
        <v/>
      </c>
      <c r="L6" s="11">
        <f>J6*B6</f>
        <v/>
      </c>
      <c r="M6" s="11">
        <f>参数!$B$10*参数!$B$11*(1+参数!$B$19*W5)*AA5</f>
        <v/>
      </c>
      <c r="N6" s="11">
        <f>T5+M6</f>
        <v/>
      </c>
      <c r="O6" s="11">
        <f>L6*参数!$B$13</f>
        <v/>
      </c>
      <c r="P6" s="13">
        <f>IF(O6=0,1,MIN(1,N6/O6))</f>
        <v/>
      </c>
      <c r="Q6" s="11">
        <f>L6*P6</f>
        <v/>
      </c>
      <c r="R6" s="11">
        <f>R5+Q6</f>
        <v/>
      </c>
      <c r="S6" s="11">
        <f>1+IF(R6&gt;=参数!$B$14,1,0)+IF(R6&gt;=参数!$B$15,1,0)+IF(R6&gt;=参数!$B$16,1,0)</f>
        <v/>
      </c>
      <c r="T6" s="11">
        <f>N6-O6*P6</f>
        <v/>
      </c>
      <c r="U6" s="11">
        <f>J6*D6</f>
        <v/>
      </c>
      <c r="V6" s="11">
        <f>V5+U6</f>
        <v/>
      </c>
      <c r="W6" s="11">
        <f>INT(V6/参数!$B$18)</f>
        <v/>
      </c>
      <c r="X6" s="11">
        <f>J6*C6</f>
        <v/>
      </c>
      <c r="Y6" s="11">
        <f>参数!$B$20+参数!$B$21*(A6-1)</f>
        <v/>
      </c>
      <c r="Z6" s="13">
        <f>MIN(1,X6/Y6)</f>
        <v/>
      </c>
      <c r="AA6" s="14">
        <f>参数!$B$22+(1-参数!$B$22)*Z6</f>
        <v/>
      </c>
      <c r="AB6" s="11">
        <f>参数!$B$9*(1+参数!$B$19*W5)*AA5</f>
        <v/>
      </c>
      <c r="AC6" s="11">
        <f>AF5+AB6</f>
        <v/>
      </c>
      <c r="AD6" s="11">
        <f>MIN(AC6,参数!$B$7)</f>
        <v/>
      </c>
      <c r="AE6" s="11">
        <f>AD6/参数!$B$6</f>
        <v/>
      </c>
      <c r="AF6" s="11">
        <f>AC6-AD6</f>
        <v/>
      </c>
      <c r="AG6" s="11">
        <f>X6*G6</f>
        <v/>
      </c>
    </row>
    <row r="7">
      <c r="A7" s="11" t="n">
        <v>4</v>
      </c>
      <c r="B7" s="12" t="n">
        <v>0.15</v>
      </c>
      <c r="C7" s="12" t="n">
        <v>0.65</v>
      </c>
      <c r="D7" s="13">
        <f>1-B7-C7</f>
        <v/>
      </c>
      <c r="E7" s="11">
        <f>参数!$B$2+参数!$B$3*(A7-1)</f>
        <v/>
      </c>
      <c r="F7" s="11">
        <f>F6+AE6</f>
        <v/>
      </c>
      <c r="G7" s="14">
        <f>1+参数!$B$17*(S6-1)</f>
        <v/>
      </c>
      <c r="H7" s="11">
        <f>F7*G7</f>
        <v/>
      </c>
      <c r="I7" s="11">
        <f>E7/参数!$B$4</f>
        <v/>
      </c>
      <c r="J7" s="11">
        <f>MIN(H7,I7)</f>
        <v/>
      </c>
      <c r="K7" s="15">
        <f>IF(I7&lt;H7,"⚡受限","")</f>
        <v/>
      </c>
      <c r="L7" s="11">
        <f>J7*B7</f>
        <v/>
      </c>
      <c r="M7" s="11">
        <f>参数!$B$10*参数!$B$11*(1+参数!$B$19*W6)*AA6</f>
        <v/>
      </c>
      <c r="N7" s="11">
        <f>T6+M7</f>
        <v/>
      </c>
      <c r="O7" s="11">
        <f>L7*参数!$B$13</f>
        <v/>
      </c>
      <c r="P7" s="13">
        <f>IF(O7=0,1,MIN(1,N7/O7))</f>
        <v/>
      </c>
      <c r="Q7" s="11">
        <f>L7*P7</f>
        <v/>
      </c>
      <c r="R7" s="11">
        <f>R6+Q7</f>
        <v/>
      </c>
      <c r="S7" s="11">
        <f>1+IF(R7&gt;=参数!$B$14,1,0)+IF(R7&gt;=参数!$B$15,1,0)+IF(R7&gt;=参数!$B$16,1,0)</f>
        <v/>
      </c>
      <c r="T7" s="11">
        <f>N7-O7*P7</f>
        <v/>
      </c>
      <c r="U7" s="11">
        <f>J7*D7</f>
        <v/>
      </c>
      <c r="V7" s="11">
        <f>V6+U7</f>
        <v/>
      </c>
      <c r="W7" s="11">
        <f>INT(V7/参数!$B$18)</f>
        <v/>
      </c>
      <c r="X7" s="11">
        <f>J7*C7</f>
        <v/>
      </c>
      <c r="Y7" s="11">
        <f>参数!$B$20+参数!$B$21*(A7-1)</f>
        <v/>
      </c>
      <c r="Z7" s="13">
        <f>MIN(1,X7/Y7)</f>
        <v/>
      </c>
      <c r="AA7" s="14">
        <f>参数!$B$22+(1-参数!$B$22)*Z7</f>
        <v/>
      </c>
      <c r="AB7" s="11">
        <f>参数!$B$9*(1+参数!$B$19*W6)*AA6</f>
        <v/>
      </c>
      <c r="AC7" s="11">
        <f>AF6+AB7</f>
        <v/>
      </c>
      <c r="AD7" s="11">
        <f>MIN(AC7,参数!$B$7)</f>
        <v/>
      </c>
      <c r="AE7" s="11">
        <f>AD7/参数!$B$6</f>
        <v/>
      </c>
      <c r="AF7" s="11">
        <f>AC7-AD7</f>
        <v/>
      </c>
      <c r="AG7" s="11">
        <f>X7*G7</f>
        <v/>
      </c>
    </row>
    <row r="8">
      <c r="A8" s="11" t="n">
        <v>5</v>
      </c>
      <c r="B8" s="12" t="n">
        <v>0.15</v>
      </c>
      <c r="C8" s="12" t="n">
        <v>0.65</v>
      </c>
      <c r="D8" s="13">
        <f>1-B8-C8</f>
        <v/>
      </c>
      <c r="E8" s="11">
        <f>参数!$B$2+参数!$B$3*(A8-1)</f>
        <v/>
      </c>
      <c r="F8" s="11">
        <f>F7+AE7</f>
        <v/>
      </c>
      <c r="G8" s="14">
        <f>1+参数!$B$17*(S7-1)</f>
        <v/>
      </c>
      <c r="H8" s="11">
        <f>F8*G8</f>
        <v/>
      </c>
      <c r="I8" s="11">
        <f>E8/参数!$B$4</f>
        <v/>
      </c>
      <c r="J8" s="11">
        <f>MIN(H8,I8)</f>
        <v/>
      </c>
      <c r="K8" s="15">
        <f>IF(I8&lt;H8,"⚡受限","")</f>
        <v/>
      </c>
      <c r="L8" s="11">
        <f>J8*B8</f>
        <v/>
      </c>
      <c r="M8" s="11">
        <f>参数!$B$10*参数!$B$11*(1+参数!$B$19*W7)*AA7</f>
        <v/>
      </c>
      <c r="N8" s="11">
        <f>T7+M8</f>
        <v/>
      </c>
      <c r="O8" s="11">
        <f>L8*参数!$B$13</f>
        <v/>
      </c>
      <c r="P8" s="13">
        <f>IF(O8=0,1,MIN(1,N8/O8))</f>
        <v/>
      </c>
      <c r="Q8" s="11">
        <f>L8*P8</f>
        <v/>
      </c>
      <c r="R8" s="11">
        <f>R7+Q8</f>
        <v/>
      </c>
      <c r="S8" s="11">
        <f>1+IF(R8&gt;=参数!$B$14,1,0)+IF(R8&gt;=参数!$B$15,1,0)+IF(R8&gt;=参数!$B$16,1,0)</f>
        <v/>
      </c>
      <c r="T8" s="11">
        <f>N8-O8*P8</f>
        <v/>
      </c>
      <c r="U8" s="11">
        <f>J8*D8</f>
        <v/>
      </c>
      <c r="V8" s="11">
        <f>V7+U8</f>
        <v/>
      </c>
      <c r="W8" s="11">
        <f>INT(V8/参数!$B$18)</f>
        <v/>
      </c>
      <c r="X8" s="11">
        <f>J8*C8</f>
        <v/>
      </c>
      <c r="Y8" s="11">
        <f>参数!$B$20+参数!$B$21*(A8-1)</f>
        <v/>
      </c>
      <c r="Z8" s="13">
        <f>MIN(1,X8/Y8)</f>
        <v/>
      </c>
      <c r="AA8" s="14">
        <f>参数!$B$22+(1-参数!$B$22)*Z8</f>
        <v/>
      </c>
      <c r="AB8" s="11">
        <f>参数!$B$9*(1+参数!$B$19*W7)*AA7</f>
        <v/>
      </c>
      <c r="AC8" s="11">
        <f>AF7+AB8</f>
        <v/>
      </c>
      <c r="AD8" s="11">
        <f>MIN(AC8,参数!$B$7)</f>
        <v/>
      </c>
      <c r="AE8" s="11">
        <f>AD8/参数!$B$6</f>
        <v/>
      </c>
      <c r="AF8" s="11">
        <f>AC8-AD8</f>
        <v/>
      </c>
      <c r="AG8" s="11">
        <f>X8*G8</f>
        <v/>
      </c>
    </row>
    <row r="9">
      <c r="A9" s="11" t="n">
        <v>6</v>
      </c>
      <c r="B9" s="12" t="n">
        <v>0.15</v>
      </c>
      <c r="C9" s="12" t="n">
        <v>0.65</v>
      </c>
      <c r="D9" s="13">
        <f>1-B9-C9</f>
        <v/>
      </c>
      <c r="E9" s="11">
        <f>参数!$B$2+参数!$B$3*(A9-1)</f>
        <v/>
      </c>
      <c r="F9" s="11">
        <f>F8+AE8</f>
        <v/>
      </c>
      <c r="G9" s="14">
        <f>1+参数!$B$17*(S8-1)</f>
        <v/>
      </c>
      <c r="H9" s="11">
        <f>F9*G9</f>
        <v/>
      </c>
      <c r="I9" s="11">
        <f>E9/参数!$B$4</f>
        <v/>
      </c>
      <c r="J9" s="11">
        <f>MIN(H9,I9)</f>
        <v/>
      </c>
      <c r="K9" s="15">
        <f>IF(I9&lt;H9,"⚡受限","")</f>
        <v/>
      </c>
      <c r="L9" s="11">
        <f>J9*B9</f>
        <v/>
      </c>
      <c r="M9" s="11">
        <f>参数!$B$10*参数!$B$11*(1+参数!$B$19*W8)*AA8</f>
        <v/>
      </c>
      <c r="N9" s="11">
        <f>T8+M9</f>
        <v/>
      </c>
      <c r="O9" s="11">
        <f>L9*参数!$B$13</f>
        <v/>
      </c>
      <c r="P9" s="13">
        <f>IF(O9=0,1,MIN(1,N9/O9))</f>
        <v/>
      </c>
      <c r="Q9" s="11">
        <f>L9*P9</f>
        <v/>
      </c>
      <c r="R9" s="11">
        <f>R8+Q9</f>
        <v/>
      </c>
      <c r="S9" s="11">
        <f>1+IF(R9&gt;=参数!$B$14,1,0)+IF(R9&gt;=参数!$B$15,1,0)+IF(R9&gt;=参数!$B$16,1,0)</f>
        <v/>
      </c>
      <c r="T9" s="11">
        <f>N9-O9*P9</f>
        <v/>
      </c>
      <c r="U9" s="11">
        <f>J9*D9</f>
        <v/>
      </c>
      <c r="V9" s="11">
        <f>V8+U9</f>
        <v/>
      </c>
      <c r="W9" s="11">
        <f>INT(V9/参数!$B$18)</f>
        <v/>
      </c>
      <c r="X9" s="11">
        <f>J9*C9</f>
        <v/>
      </c>
      <c r="Y9" s="11">
        <f>参数!$B$20+参数!$B$21*(A9-1)</f>
        <v/>
      </c>
      <c r="Z9" s="13">
        <f>MIN(1,X9/Y9)</f>
        <v/>
      </c>
      <c r="AA9" s="14">
        <f>参数!$B$22+(1-参数!$B$22)*Z9</f>
        <v/>
      </c>
      <c r="AB9" s="11">
        <f>参数!$B$9*(1+参数!$B$19*W8)*AA8</f>
        <v/>
      </c>
      <c r="AC9" s="11">
        <f>AF8+AB9</f>
        <v/>
      </c>
      <c r="AD9" s="11">
        <f>MIN(AC9,参数!$B$7)</f>
        <v/>
      </c>
      <c r="AE9" s="11">
        <f>AD9/参数!$B$6</f>
        <v/>
      </c>
      <c r="AF9" s="11">
        <f>AC9-AD9</f>
        <v/>
      </c>
      <c r="AG9" s="11">
        <f>X9*G9</f>
        <v/>
      </c>
    </row>
    <row r="10">
      <c r="A10" s="11" t="n">
        <v>7</v>
      </c>
      <c r="B10" s="12" t="n">
        <v>0.15</v>
      </c>
      <c r="C10" s="12" t="n">
        <v>0.65</v>
      </c>
      <c r="D10" s="13">
        <f>1-B10-C10</f>
        <v/>
      </c>
      <c r="E10" s="11">
        <f>参数!$B$2+参数!$B$3*(A10-1)</f>
        <v/>
      </c>
      <c r="F10" s="11">
        <f>F9+AE9</f>
        <v/>
      </c>
      <c r="G10" s="14">
        <f>1+参数!$B$17*(S9-1)</f>
        <v/>
      </c>
      <c r="H10" s="11">
        <f>F10*G10</f>
        <v/>
      </c>
      <c r="I10" s="11">
        <f>E10/参数!$B$4</f>
        <v/>
      </c>
      <c r="J10" s="11">
        <f>MIN(H10,I10)</f>
        <v/>
      </c>
      <c r="K10" s="15">
        <f>IF(I10&lt;H10,"⚡受限","")</f>
        <v/>
      </c>
      <c r="L10" s="11">
        <f>J10*B10</f>
        <v/>
      </c>
      <c r="M10" s="11">
        <f>参数!$B$10*参数!$B$11*(1+参数!$B$19*W9)*AA9</f>
        <v/>
      </c>
      <c r="N10" s="11">
        <f>T9+M10</f>
        <v/>
      </c>
      <c r="O10" s="11">
        <f>L10*参数!$B$13</f>
        <v/>
      </c>
      <c r="P10" s="13">
        <f>IF(O10=0,1,MIN(1,N10/O10))</f>
        <v/>
      </c>
      <c r="Q10" s="11">
        <f>L10*P10</f>
        <v/>
      </c>
      <c r="R10" s="11">
        <f>R9+Q10</f>
        <v/>
      </c>
      <c r="S10" s="11">
        <f>1+IF(R10&gt;=参数!$B$14,1,0)+IF(R10&gt;=参数!$B$15,1,0)+IF(R10&gt;=参数!$B$16,1,0)</f>
        <v/>
      </c>
      <c r="T10" s="11">
        <f>N10-O10*P10</f>
        <v/>
      </c>
      <c r="U10" s="11">
        <f>J10*D10</f>
        <v/>
      </c>
      <c r="V10" s="11">
        <f>V9+U10</f>
        <v/>
      </c>
      <c r="W10" s="11">
        <f>INT(V10/参数!$B$18)</f>
        <v/>
      </c>
      <c r="X10" s="11">
        <f>J10*C10</f>
        <v/>
      </c>
      <c r="Y10" s="11">
        <f>参数!$B$20+参数!$B$21*(A10-1)</f>
        <v/>
      </c>
      <c r="Z10" s="13">
        <f>MIN(1,X10/Y10)</f>
        <v/>
      </c>
      <c r="AA10" s="14">
        <f>参数!$B$22+(1-参数!$B$22)*Z10</f>
        <v/>
      </c>
      <c r="AB10" s="11">
        <f>参数!$B$9*(1+参数!$B$19*W9)*AA9</f>
        <v/>
      </c>
      <c r="AC10" s="11">
        <f>AF9+AB10</f>
        <v/>
      </c>
      <c r="AD10" s="11">
        <f>MIN(AC10,参数!$B$7)</f>
        <v/>
      </c>
      <c r="AE10" s="11">
        <f>AD10/参数!$B$6</f>
        <v/>
      </c>
      <c r="AF10" s="11">
        <f>AC10-AD10</f>
        <v/>
      </c>
      <c r="AG10" s="11">
        <f>X10*G10</f>
        <v/>
      </c>
    </row>
    <row r="11">
      <c r="A11" s="11" t="n">
        <v>8</v>
      </c>
      <c r="B11" s="12" t="n">
        <v>0.15</v>
      </c>
      <c r="C11" s="12" t="n">
        <v>0.65</v>
      </c>
      <c r="D11" s="13">
        <f>1-B11-C11</f>
        <v/>
      </c>
      <c r="E11" s="11">
        <f>参数!$B$2+参数!$B$3*(A11-1)</f>
        <v/>
      </c>
      <c r="F11" s="11">
        <f>F10+AE10</f>
        <v/>
      </c>
      <c r="G11" s="14">
        <f>1+参数!$B$17*(S10-1)</f>
        <v/>
      </c>
      <c r="H11" s="11">
        <f>F11*G11</f>
        <v/>
      </c>
      <c r="I11" s="11">
        <f>E11/参数!$B$4</f>
        <v/>
      </c>
      <c r="J11" s="11">
        <f>MIN(H11,I11)</f>
        <v/>
      </c>
      <c r="K11" s="15">
        <f>IF(I11&lt;H11,"⚡受限","")</f>
        <v/>
      </c>
      <c r="L11" s="11">
        <f>J11*B11</f>
        <v/>
      </c>
      <c r="M11" s="11">
        <f>参数!$B$10*参数!$B$11*(1+参数!$B$19*W10)*AA10</f>
        <v/>
      </c>
      <c r="N11" s="11">
        <f>T10+M11</f>
        <v/>
      </c>
      <c r="O11" s="11">
        <f>L11*参数!$B$13</f>
        <v/>
      </c>
      <c r="P11" s="13">
        <f>IF(O11=0,1,MIN(1,N11/O11))</f>
        <v/>
      </c>
      <c r="Q11" s="11">
        <f>L11*P11</f>
        <v/>
      </c>
      <c r="R11" s="11">
        <f>R10+Q11</f>
        <v/>
      </c>
      <c r="S11" s="11">
        <f>1+IF(R11&gt;=参数!$B$14,1,0)+IF(R11&gt;=参数!$B$15,1,0)+IF(R11&gt;=参数!$B$16,1,0)</f>
        <v/>
      </c>
      <c r="T11" s="11">
        <f>N11-O11*P11</f>
        <v/>
      </c>
      <c r="U11" s="11">
        <f>J11*D11</f>
        <v/>
      </c>
      <c r="V11" s="11">
        <f>V10+U11</f>
        <v/>
      </c>
      <c r="W11" s="11">
        <f>INT(V11/参数!$B$18)</f>
        <v/>
      </c>
      <c r="X11" s="11">
        <f>J11*C11</f>
        <v/>
      </c>
      <c r="Y11" s="11">
        <f>参数!$B$20+参数!$B$21*(A11-1)</f>
        <v/>
      </c>
      <c r="Z11" s="13">
        <f>MIN(1,X11/Y11)</f>
        <v/>
      </c>
      <c r="AA11" s="14">
        <f>参数!$B$22+(1-参数!$B$22)*Z11</f>
        <v/>
      </c>
      <c r="AB11" s="11">
        <f>参数!$B$9*(1+参数!$B$19*W10)*AA10</f>
        <v/>
      </c>
      <c r="AC11" s="11">
        <f>AF10+AB11</f>
        <v/>
      </c>
      <c r="AD11" s="11">
        <f>MIN(AC11,参数!$B$7)</f>
        <v/>
      </c>
      <c r="AE11" s="11">
        <f>AD11/参数!$B$6</f>
        <v/>
      </c>
      <c r="AF11" s="11">
        <f>AC11-AD11</f>
        <v/>
      </c>
      <c r="AG11" s="11">
        <f>X11*G11</f>
        <v/>
      </c>
    </row>
    <row r="12">
      <c r="A12" s="11" t="n">
        <v>9</v>
      </c>
      <c r="B12" s="12" t="n">
        <v>0.15</v>
      </c>
      <c r="C12" s="12" t="n">
        <v>0.65</v>
      </c>
      <c r="D12" s="13">
        <f>1-B12-C12</f>
        <v/>
      </c>
      <c r="E12" s="11">
        <f>参数!$B$2+参数!$B$3*(A12-1)</f>
        <v/>
      </c>
      <c r="F12" s="11">
        <f>F11+AE11</f>
        <v/>
      </c>
      <c r="G12" s="14">
        <f>1+参数!$B$17*(S11-1)</f>
        <v/>
      </c>
      <c r="H12" s="11">
        <f>F12*G12</f>
        <v/>
      </c>
      <c r="I12" s="11">
        <f>E12/参数!$B$4</f>
        <v/>
      </c>
      <c r="J12" s="11">
        <f>MIN(H12,I12)</f>
        <v/>
      </c>
      <c r="K12" s="15">
        <f>IF(I12&lt;H12,"⚡受限","")</f>
        <v/>
      </c>
      <c r="L12" s="11">
        <f>J12*B12</f>
        <v/>
      </c>
      <c r="M12" s="11">
        <f>参数!$B$10*参数!$B$11*(1+参数!$B$19*W11)*AA11</f>
        <v/>
      </c>
      <c r="N12" s="11">
        <f>T11+M12</f>
        <v/>
      </c>
      <c r="O12" s="11">
        <f>L12*参数!$B$13</f>
        <v/>
      </c>
      <c r="P12" s="13">
        <f>IF(O12=0,1,MIN(1,N12/O12))</f>
        <v/>
      </c>
      <c r="Q12" s="11">
        <f>L12*P12</f>
        <v/>
      </c>
      <c r="R12" s="11">
        <f>R11+Q12</f>
        <v/>
      </c>
      <c r="S12" s="11">
        <f>1+IF(R12&gt;=参数!$B$14,1,0)+IF(R12&gt;=参数!$B$15,1,0)+IF(R12&gt;=参数!$B$16,1,0)</f>
        <v/>
      </c>
      <c r="T12" s="11">
        <f>N12-O12*P12</f>
        <v/>
      </c>
      <c r="U12" s="11">
        <f>J12*D12</f>
        <v/>
      </c>
      <c r="V12" s="11">
        <f>V11+U12</f>
        <v/>
      </c>
      <c r="W12" s="11">
        <f>INT(V12/参数!$B$18)</f>
        <v/>
      </c>
      <c r="X12" s="11">
        <f>J12*C12</f>
        <v/>
      </c>
      <c r="Y12" s="11">
        <f>参数!$B$20+参数!$B$21*(A12-1)</f>
        <v/>
      </c>
      <c r="Z12" s="13">
        <f>MIN(1,X12/Y12)</f>
        <v/>
      </c>
      <c r="AA12" s="14">
        <f>参数!$B$22+(1-参数!$B$22)*Z12</f>
        <v/>
      </c>
      <c r="AB12" s="11">
        <f>参数!$B$9*(1+参数!$B$19*W11)*AA11</f>
        <v/>
      </c>
      <c r="AC12" s="11">
        <f>AF11+AB12</f>
        <v/>
      </c>
      <c r="AD12" s="11">
        <f>MIN(AC12,参数!$B$7)</f>
        <v/>
      </c>
      <c r="AE12" s="11">
        <f>AD12/参数!$B$6</f>
        <v/>
      </c>
      <c r="AF12" s="11">
        <f>AC12-AD12</f>
        <v/>
      </c>
      <c r="AG12" s="11">
        <f>X12*G12</f>
        <v/>
      </c>
    </row>
    <row r="13">
      <c r="A13" s="11" t="n">
        <v>10</v>
      </c>
      <c r="B13" s="12" t="n">
        <v>0.15</v>
      </c>
      <c r="C13" s="12" t="n">
        <v>0.65</v>
      </c>
      <c r="D13" s="13">
        <f>1-B13-C13</f>
        <v/>
      </c>
      <c r="E13" s="11">
        <f>参数!$B$2+参数!$B$3*(A13-1)</f>
        <v/>
      </c>
      <c r="F13" s="11">
        <f>F12+AE12</f>
        <v/>
      </c>
      <c r="G13" s="14">
        <f>1+参数!$B$17*(S12-1)</f>
        <v/>
      </c>
      <c r="H13" s="11">
        <f>F13*G13</f>
        <v/>
      </c>
      <c r="I13" s="11">
        <f>E13/参数!$B$4</f>
        <v/>
      </c>
      <c r="J13" s="11">
        <f>MIN(H13,I13)</f>
        <v/>
      </c>
      <c r="K13" s="15">
        <f>IF(I13&lt;H13,"⚡受限","")</f>
        <v/>
      </c>
      <c r="L13" s="11">
        <f>J13*B13</f>
        <v/>
      </c>
      <c r="M13" s="11">
        <f>参数!$B$10*参数!$B$11*(1+参数!$B$19*W12)*AA12</f>
        <v/>
      </c>
      <c r="N13" s="11">
        <f>T12+M13</f>
        <v/>
      </c>
      <c r="O13" s="11">
        <f>L13*参数!$B$13</f>
        <v/>
      </c>
      <c r="P13" s="13">
        <f>IF(O13=0,1,MIN(1,N13/O13))</f>
        <v/>
      </c>
      <c r="Q13" s="11">
        <f>L13*P13</f>
        <v/>
      </c>
      <c r="R13" s="11">
        <f>R12+Q13</f>
        <v/>
      </c>
      <c r="S13" s="11">
        <f>1+IF(R13&gt;=参数!$B$14,1,0)+IF(R13&gt;=参数!$B$15,1,0)+IF(R13&gt;=参数!$B$16,1,0)</f>
        <v/>
      </c>
      <c r="T13" s="11">
        <f>N13-O13*P13</f>
        <v/>
      </c>
      <c r="U13" s="11">
        <f>J13*D13</f>
        <v/>
      </c>
      <c r="V13" s="11">
        <f>V12+U13</f>
        <v/>
      </c>
      <c r="W13" s="11">
        <f>INT(V13/参数!$B$18)</f>
        <v/>
      </c>
      <c r="X13" s="11">
        <f>J13*C13</f>
        <v/>
      </c>
      <c r="Y13" s="11">
        <f>参数!$B$20+参数!$B$21*(A13-1)</f>
        <v/>
      </c>
      <c r="Z13" s="13">
        <f>MIN(1,X13/Y13)</f>
        <v/>
      </c>
      <c r="AA13" s="14">
        <f>参数!$B$22+(1-参数!$B$22)*Z13</f>
        <v/>
      </c>
      <c r="AB13" s="11">
        <f>参数!$B$9*(1+参数!$B$19*W12)*AA12</f>
        <v/>
      </c>
      <c r="AC13" s="11">
        <f>AF12+AB13</f>
        <v/>
      </c>
      <c r="AD13" s="11">
        <f>MIN(AC13,参数!$B$7)</f>
        <v/>
      </c>
      <c r="AE13" s="11">
        <f>AD13/参数!$B$6</f>
        <v/>
      </c>
      <c r="AF13" s="11">
        <f>AC13-AD13</f>
        <v/>
      </c>
      <c r="AG13" s="11">
        <f>X13*G13</f>
        <v/>
      </c>
    </row>
    <row r="14">
      <c r="A14" s="11" t="n">
        <v>11</v>
      </c>
      <c r="B14" s="12" t="n">
        <v>0.15</v>
      </c>
      <c r="C14" s="12" t="n">
        <v>0.65</v>
      </c>
      <c r="D14" s="13">
        <f>1-B14-C14</f>
        <v/>
      </c>
      <c r="E14" s="11">
        <f>参数!$B$2+参数!$B$3*(A14-1)</f>
        <v/>
      </c>
      <c r="F14" s="11">
        <f>F13+AE13</f>
        <v/>
      </c>
      <c r="G14" s="14">
        <f>1+参数!$B$17*(S13-1)</f>
        <v/>
      </c>
      <c r="H14" s="11">
        <f>F14*G14</f>
        <v/>
      </c>
      <c r="I14" s="11">
        <f>E14/参数!$B$4</f>
        <v/>
      </c>
      <c r="J14" s="11">
        <f>MIN(H14,I14)</f>
        <v/>
      </c>
      <c r="K14" s="15">
        <f>IF(I14&lt;H14,"⚡受限","")</f>
        <v/>
      </c>
      <c r="L14" s="11">
        <f>J14*B14</f>
        <v/>
      </c>
      <c r="M14" s="11">
        <f>参数!$B$10*参数!$B$11*(1+参数!$B$19*W13)*AA13</f>
        <v/>
      </c>
      <c r="N14" s="11">
        <f>T13+M14</f>
        <v/>
      </c>
      <c r="O14" s="11">
        <f>L14*参数!$B$13</f>
        <v/>
      </c>
      <c r="P14" s="13">
        <f>IF(O14=0,1,MIN(1,N14/O14))</f>
        <v/>
      </c>
      <c r="Q14" s="11">
        <f>L14*P14</f>
        <v/>
      </c>
      <c r="R14" s="11">
        <f>R13+Q14</f>
        <v/>
      </c>
      <c r="S14" s="11">
        <f>1+IF(R14&gt;=参数!$B$14,1,0)+IF(R14&gt;=参数!$B$15,1,0)+IF(R14&gt;=参数!$B$16,1,0)</f>
        <v/>
      </c>
      <c r="T14" s="11">
        <f>N14-O14*P14</f>
        <v/>
      </c>
      <c r="U14" s="11">
        <f>J14*D14</f>
        <v/>
      </c>
      <c r="V14" s="11">
        <f>V13+U14</f>
        <v/>
      </c>
      <c r="W14" s="11">
        <f>INT(V14/参数!$B$18)</f>
        <v/>
      </c>
      <c r="X14" s="11">
        <f>J14*C14</f>
        <v/>
      </c>
      <c r="Y14" s="11">
        <f>参数!$B$20+参数!$B$21*(A14-1)</f>
        <v/>
      </c>
      <c r="Z14" s="13">
        <f>MIN(1,X14/Y14)</f>
        <v/>
      </c>
      <c r="AA14" s="14">
        <f>参数!$B$22+(1-参数!$B$22)*Z14</f>
        <v/>
      </c>
      <c r="AB14" s="11">
        <f>参数!$B$9*(1+参数!$B$19*W13)*AA13</f>
        <v/>
      </c>
      <c r="AC14" s="11">
        <f>AF13+AB14</f>
        <v/>
      </c>
      <c r="AD14" s="11">
        <f>MIN(AC14,参数!$B$7)</f>
        <v/>
      </c>
      <c r="AE14" s="11">
        <f>AD14/参数!$B$6</f>
        <v/>
      </c>
      <c r="AF14" s="11">
        <f>AC14-AD14</f>
        <v/>
      </c>
      <c r="AG14" s="11">
        <f>X14*G14</f>
        <v/>
      </c>
    </row>
    <row r="15">
      <c r="A15" s="11" t="n">
        <v>12</v>
      </c>
      <c r="B15" s="12" t="n">
        <v>0.15</v>
      </c>
      <c r="C15" s="12" t="n">
        <v>0.65</v>
      </c>
      <c r="D15" s="13">
        <f>1-B15-C15</f>
        <v/>
      </c>
      <c r="E15" s="11">
        <f>参数!$B$2+参数!$B$3*(A15-1)</f>
        <v/>
      </c>
      <c r="F15" s="11">
        <f>F14+AE14</f>
        <v/>
      </c>
      <c r="G15" s="14">
        <f>1+参数!$B$17*(S14-1)</f>
        <v/>
      </c>
      <c r="H15" s="11">
        <f>F15*G15</f>
        <v/>
      </c>
      <c r="I15" s="11">
        <f>E15/参数!$B$4</f>
        <v/>
      </c>
      <c r="J15" s="11">
        <f>MIN(H15,I15)</f>
        <v/>
      </c>
      <c r="K15" s="15">
        <f>IF(I15&lt;H15,"⚡受限","")</f>
        <v/>
      </c>
      <c r="L15" s="11">
        <f>J15*B15</f>
        <v/>
      </c>
      <c r="M15" s="11">
        <f>参数!$B$10*参数!$B$11*(1+参数!$B$19*W14)*AA14</f>
        <v/>
      </c>
      <c r="N15" s="11">
        <f>T14+M15</f>
        <v/>
      </c>
      <c r="O15" s="11">
        <f>L15*参数!$B$13</f>
        <v/>
      </c>
      <c r="P15" s="13">
        <f>IF(O15=0,1,MIN(1,N15/O15))</f>
        <v/>
      </c>
      <c r="Q15" s="11">
        <f>L15*P15</f>
        <v/>
      </c>
      <c r="R15" s="11">
        <f>R14+Q15</f>
        <v/>
      </c>
      <c r="S15" s="11">
        <f>1+IF(R15&gt;=参数!$B$14,1,0)+IF(R15&gt;=参数!$B$15,1,0)+IF(R15&gt;=参数!$B$16,1,0)</f>
        <v/>
      </c>
      <c r="T15" s="11">
        <f>N15-O15*P15</f>
        <v/>
      </c>
      <c r="U15" s="11">
        <f>J15*D15</f>
        <v/>
      </c>
      <c r="V15" s="11">
        <f>V14+U15</f>
        <v/>
      </c>
      <c r="W15" s="11">
        <f>INT(V15/参数!$B$18)</f>
        <v/>
      </c>
      <c r="X15" s="11">
        <f>J15*C15</f>
        <v/>
      </c>
      <c r="Y15" s="11">
        <f>参数!$B$20+参数!$B$21*(A15-1)</f>
        <v/>
      </c>
      <c r="Z15" s="13">
        <f>MIN(1,X15/Y15)</f>
        <v/>
      </c>
      <c r="AA15" s="14">
        <f>参数!$B$22+(1-参数!$B$22)*Z15</f>
        <v/>
      </c>
      <c r="AB15" s="11">
        <f>参数!$B$9*(1+参数!$B$19*W14)*AA14</f>
        <v/>
      </c>
      <c r="AC15" s="11">
        <f>AF14+AB15</f>
        <v/>
      </c>
      <c r="AD15" s="11">
        <f>MIN(AC15,参数!$B$7)</f>
        <v/>
      </c>
      <c r="AE15" s="11">
        <f>AD15/参数!$B$6</f>
        <v/>
      </c>
      <c r="AF15" s="11">
        <f>AC15-AD15</f>
        <v/>
      </c>
      <c r="AG15" s="11">
        <f>X15*G15</f>
        <v/>
      </c>
    </row>
    <row r="16">
      <c r="A16" s="11" t="n">
        <v>13</v>
      </c>
      <c r="B16" s="12" t="n">
        <v>0.15</v>
      </c>
      <c r="C16" s="12" t="n">
        <v>0.65</v>
      </c>
      <c r="D16" s="13">
        <f>1-B16-C16</f>
        <v/>
      </c>
      <c r="E16" s="11">
        <f>参数!$B$2+参数!$B$3*(A16-1)</f>
        <v/>
      </c>
      <c r="F16" s="11">
        <f>F15+AE15</f>
        <v/>
      </c>
      <c r="G16" s="14">
        <f>1+参数!$B$17*(S15-1)</f>
        <v/>
      </c>
      <c r="H16" s="11">
        <f>F16*G16</f>
        <v/>
      </c>
      <c r="I16" s="11">
        <f>E16/参数!$B$4</f>
        <v/>
      </c>
      <c r="J16" s="11">
        <f>MIN(H16,I16)</f>
        <v/>
      </c>
      <c r="K16" s="15">
        <f>IF(I16&lt;H16,"⚡受限","")</f>
        <v/>
      </c>
      <c r="L16" s="11">
        <f>J16*B16</f>
        <v/>
      </c>
      <c r="M16" s="11">
        <f>参数!$B$10*参数!$B$11*(1+参数!$B$19*W15)*AA15</f>
        <v/>
      </c>
      <c r="N16" s="11">
        <f>T15+M16</f>
        <v/>
      </c>
      <c r="O16" s="11">
        <f>L16*参数!$B$13</f>
        <v/>
      </c>
      <c r="P16" s="13">
        <f>IF(O16=0,1,MIN(1,N16/O16))</f>
        <v/>
      </c>
      <c r="Q16" s="11">
        <f>L16*P16</f>
        <v/>
      </c>
      <c r="R16" s="11">
        <f>R15+Q16</f>
        <v/>
      </c>
      <c r="S16" s="11">
        <f>1+IF(R16&gt;=参数!$B$14,1,0)+IF(R16&gt;=参数!$B$15,1,0)+IF(R16&gt;=参数!$B$16,1,0)</f>
        <v/>
      </c>
      <c r="T16" s="11">
        <f>N16-O16*P16</f>
        <v/>
      </c>
      <c r="U16" s="11">
        <f>J16*D16</f>
        <v/>
      </c>
      <c r="V16" s="11">
        <f>V15+U16</f>
        <v/>
      </c>
      <c r="W16" s="11">
        <f>INT(V16/参数!$B$18)</f>
        <v/>
      </c>
      <c r="X16" s="11">
        <f>J16*C16</f>
        <v/>
      </c>
      <c r="Y16" s="11">
        <f>参数!$B$20+参数!$B$21*(A16-1)</f>
        <v/>
      </c>
      <c r="Z16" s="13">
        <f>MIN(1,X16/Y16)</f>
        <v/>
      </c>
      <c r="AA16" s="14">
        <f>参数!$B$22+(1-参数!$B$22)*Z16</f>
        <v/>
      </c>
      <c r="AB16" s="11">
        <f>参数!$B$9*(1+参数!$B$19*W15)*AA15</f>
        <v/>
      </c>
      <c r="AC16" s="11">
        <f>AF15+AB16</f>
        <v/>
      </c>
      <c r="AD16" s="11">
        <f>MIN(AC16,参数!$B$7)</f>
        <v/>
      </c>
      <c r="AE16" s="11">
        <f>AD16/参数!$B$6</f>
        <v/>
      </c>
      <c r="AF16" s="11">
        <f>AC16-AD16</f>
        <v/>
      </c>
      <c r="AG16" s="11">
        <f>X16*G16</f>
        <v/>
      </c>
    </row>
    <row r="17">
      <c r="A17" s="11" t="n">
        <v>14</v>
      </c>
      <c r="B17" s="12" t="n">
        <v>0.15</v>
      </c>
      <c r="C17" s="12" t="n">
        <v>0.65</v>
      </c>
      <c r="D17" s="13">
        <f>1-B17-C17</f>
        <v/>
      </c>
      <c r="E17" s="11">
        <f>参数!$B$2+参数!$B$3*(A17-1)</f>
        <v/>
      </c>
      <c r="F17" s="11">
        <f>F16+AE16</f>
        <v/>
      </c>
      <c r="G17" s="14">
        <f>1+参数!$B$17*(S16-1)</f>
        <v/>
      </c>
      <c r="H17" s="11">
        <f>F17*G17</f>
        <v/>
      </c>
      <c r="I17" s="11">
        <f>E17/参数!$B$4</f>
        <v/>
      </c>
      <c r="J17" s="11">
        <f>MIN(H17,I17)</f>
        <v/>
      </c>
      <c r="K17" s="15">
        <f>IF(I17&lt;H17,"⚡受限","")</f>
        <v/>
      </c>
      <c r="L17" s="11">
        <f>J17*B17</f>
        <v/>
      </c>
      <c r="M17" s="11">
        <f>参数!$B$10*参数!$B$11*(1+参数!$B$19*W16)*AA16</f>
        <v/>
      </c>
      <c r="N17" s="11">
        <f>T16+M17</f>
        <v/>
      </c>
      <c r="O17" s="11">
        <f>L17*参数!$B$13</f>
        <v/>
      </c>
      <c r="P17" s="13">
        <f>IF(O17=0,1,MIN(1,N17/O17))</f>
        <v/>
      </c>
      <c r="Q17" s="11">
        <f>L17*P17</f>
        <v/>
      </c>
      <c r="R17" s="11">
        <f>R16+Q17</f>
        <v/>
      </c>
      <c r="S17" s="11">
        <f>1+IF(R17&gt;=参数!$B$14,1,0)+IF(R17&gt;=参数!$B$15,1,0)+IF(R17&gt;=参数!$B$16,1,0)</f>
        <v/>
      </c>
      <c r="T17" s="11">
        <f>N17-O17*P17</f>
        <v/>
      </c>
      <c r="U17" s="11">
        <f>J17*D17</f>
        <v/>
      </c>
      <c r="V17" s="11">
        <f>V16+U17</f>
        <v/>
      </c>
      <c r="W17" s="11">
        <f>INT(V17/参数!$B$18)</f>
        <v/>
      </c>
      <c r="X17" s="11">
        <f>J17*C17</f>
        <v/>
      </c>
      <c r="Y17" s="11">
        <f>参数!$B$20+参数!$B$21*(A17-1)</f>
        <v/>
      </c>
      <c r="Z17" s="13">
        <f>MIN(1,X17/Y17)</f>
        <v/>
      </c>
      <c r="AA17" s="14">
        <f>参数!$B$22+(1-参数!$B$22)*Z17</f>
        <v/>
      </c>
      <c r="AB17" s="11">
        <f>参数!$B$9*(1+参数!$B$19*W16)*AA16</f>
        <v/>
      </c>
      <c r="AC17" s="11">
        <f>AF16+AB17</f>
        <v/>
      </c>
      <c r="AD17" s="11">
        <f>MIN(AC17,参数!$B$7)</f>
        <v/>
      </c>
      <c r="AE17" s="11">
        <f>AD17/参数!$B$6</f>
        <v/>
      </c>
      <c r="AF17" s="11">
        <f>AC17-AD17</f>
        <v/>
      </c>
      <c r="AG17" s="11">
        <f>X17*G17</f>
        <v/>
      </c>
    </row>
    <row r="18">
      <c r="A18" s="11" t="n">
        <v>15</v>
      </c>
      <c r="B18" s="12" t="n">
        <v>0.15</v>
      </c>
      <c r="C18" s="12" t="n">
        <v>0.65</v>
      </c>
      <c r="D18" s="13">
        <f>1-B18-C18</f>
        <v/>
      </c>
      <c r="E18" s="11">
        <f>参数!$B$2+参数!$B$3*(A18-1)</f>
        <v/>
      </c>
      <c r="F18" s="11">
        <f>F17+AE17</f>
        <v/>
      </c>
      <c r="G18" s="14">
        <f>1+参数!$B$17*(S17-1)</f>
        <v/>
      </c>
      <c r="H18" s="11">
        <f>F18*G18</f>
        <v/>
      </c>
      <c r="I18" s="11">
        <f>E18/参数!$B$4</f>
        <v/>
      </c>
      <c r="J18" s="11">
        <f>MIN(H18,I18)</f>
        <v/>
      </c>
      <c r="K18" s="15">
        <f>IF(I18&lt;H18,"⚡受限","")</f>
        <v/>
      </c>
      <c r="L18" s="11">
        <f>J18*B18</f>
        <v/>
      </c>
      <c r="M18" s="11">
        <f>参数!$B$10*参数!$B$11*(1+参数!$B$19*W17)*AA17</f>
        <v/>
      </c>
      <c r="N18" s="11">
        <f>T17+M18</f>
        <v/>
      </c>
      <c r="O18" s="11">
        <f>L18*参数!$B$13</f>
        <v/>
      </c>
      <c r="P18" s="13">
        <f>IF(O18=0,1,MIN(1,N18/O18))</f>
        <v/>
      </c>
      <c r="Q18" s="11">
        <f>L18*P18</f>
        <v/>
      </c>
      <c r="R18" s="11">
        <f>R17+Q18</f>
        <v/>
      </c>
      <c r="S18" s="11">
        <f>1+IF(R18&gt;=参数!$B$14,1,0)+IF(R18&gt;=参数!$B$15,1,0)+IF(R18&gt;=参数!$B$16,1,0)</f>
        <v/>
      </c>
      <c r="T18" s="11">
        <f>N18-O18*P18</f>
        <v/>
      </c>
      <c r="U18" s="11">
        <f>J18*D18</f>
        <v/>
      </c>
      <c r="V18" s="11">
        <f>V17+U18</f>
        <v/>
      </c>
      <c r="W18" s="11">
        <f>INT(V18/参数!$B$18)</f>
        <v/>
      </c>
      <c r="X18" s="11">
        <f>J18*C18</f>
        <v/>
      </c>
      <c r="Y18" s="11">
        <f>参数!$B$20+参数!$B$21*(A18-1)</f>
        <v/>
      </c>
      <c r="Z18" s="13">
        <f>MIN(1,X18/Y18)</f>
        <v/>
      </c>
      <c r="AA18" s="14">
        <f>参数!$B$22+(1-参数!$B$22)*Z18</f>
        <v/>
      </c>
      <c r="AB18" s="11">
        <f>参数!$B$9*(1+参数!$B$19*W17)*AA17</f>
        <v/>
      </c>
      <c r="AC18" s="11">
        <f>AF17+AB18</f>
        <v/>
      </c>
      <c r="AD18" s="11">
        <f>MIN(AC18,参数!$B$7)</f>
        <v/>
      </c>
      <c r="AE18" s="11">
        <f>AD18/参数!$B$6</f>
        <v/>
      </c>
      <c r="AF18" s="11">
        <f>AC18-AD18</f>
        <v/>
      </c>
      <c r="AG18" s="11">
        <f>X18*G18</f>
        <v/>
      </c>
    </row>
    <row r="19">
      <c r="A19" s="11" t="n">
        <v>16</v>
      </c>
      <c r="B19" s="12" t="n">
        <v>0.15</v>
      </c>
      <c r="C19" s="12" t="n">
        <v>0.65</v>
      </c>
      <c r="D19" s="13">
        <f>1-B19-C19</f>
        <v/>
      </c>
      <c r="E19" s="11">
        <f>参数!$B$2+参数!$B$3*(A19-1)</f>
        <v/>
      </c>
      <c r="F19" s="11">
        <f>F18+AE18</f>
        <v/>
      </c>
      <c r="G19" s="14">
        <f>1+参数!$B$17*(S18-1)</f>
        <v/>
      </c>
      <c r="H19" s="11">
        <f>F19*G19</f>
        <v/>
      </c>
      <c r="I19" s="11">
        <f>E19/参数!$B$4</f>
        <v/>
      </c>
      <c r="J19" s="11">
        <f>MIN(H19,I19)</f>
        <v/>
      </c>
      <c r="K19" s="15">
        <f>IF(I19&lt;H19,"⚡受限","")</f>
        <v/>
      </c>
      <c r="L19" s="11">
        <f>J19*B19</f>
        <v/>
      </c>
      <c r="M19" s="11">
        <f>参数!$B$10*参数!$B$11*(1+参数!$B$19*W18)*AA18</f>
        <v/>
      </c>
      <c r="N19" s="11">
        <f>T18+M19</f>
        <v/>
      </c>
      <c r="O19" s="11">
        <f>L19*参数!$B$13</f>
        <v/>
      </c>
      <c r="P19" s="13">
        <f>IF(O19=0,1,MIN(1,N19/O19))</f>
        <v/>
      </c>
      <c r="Q19" s="11">
        <f>L19*P19</f>
        <v/>
      </c>
      <c r="R19" s="11">
        <f>R18+Q19</f>
        <v/>
      </c>
      <c r="S19" s="11">
        <f>1+IF(R19&gt;=参数!$B$14,1,0)+IF(R19&gt;=参数!$B$15,1,0)+IF(R19&gt;=参数!$B$16,1,0)</f>
        <v/>
      </c>
      <c r="T19" s="11">
        <f>N19-O19*P19</f>
        <v/>
      </c>
      <c r="U19" s="11">
        <f>J19*D19</f>
        <v/>
      </c>
      <c r="V19" s="11">
        <f>V18+U19</f>
        <v/>
      </c>
      <c r="W19" s="11">
        <f>INT(V19/参数!$B$18)</f>
        <v/>
      </c>
      <c r="X19" s="11">
        <f>J19*C19</f>
        <v/>
      </c>
      <c r="Y19" s="11">
        <f>参数!$B$20+参数!$B$21*(A19-1)</f>
        <v/>
      </c>
      <c r="Z19" s="13">
        <f>MIN(1,X19/Y19)</f>
        <v/>
      </c>
      <c r="AA19" s="14">
        <f>参数!$B$22+(1-参数!$B$22)*Z19</f>
        <v/>
      </c>
      <c r="AB19" s="11">
        <f>参数!$B$9*(1+参数!$B$19*W18)*AA18</f>
        <v/>
      </c>
      <c r="AC19" s="11">
        <f>AF18+AB19</f>
        <v/>
      </c>
      <c r="AD19" s="11">
        <f>MIN(AC19,参数!$B$7)</f>
        <v/>
      </c>
      <c r="AE19" s="11">
        <f>AD19/参数!$B$6</f>
        <v/>
      </c>
      <c r="AF19" s="11">
        <f>AC19-AD19</f>
        <v/>
      </c>
      <c r="AG19" s="11">
        <f>X19*G19</f>
        <v/>
      </c>
    </row>
    <row r="20">
      <c r="A20" s="11" t="n">
        <v>17</v>
      </c>
      <c r="B20" s="12" t="n">
        <v>0.15</v>
      </c>
      <c r="C20" s="12" t="n">
        <v>0.65</v>
      </c>
      <c r="D20" s="13">
        <f>1-B20-C20</f>
        <v/>
      </c>
      <c r="E20" s="11">
        <f>参数!$B$2+参数!$B$3*(A20-1)</f>
        <v/>
      </c>
      <c r="F20" s="11">
        <f>F19+AE19</f>
        <v/>
      </c>
      <c r="G20" s="14">
        <f>1+参数!$B$17*(S19-1)</f>
        <v/>
      </c>
      <c r="H20" s="11">
        <f>F20*G20</f>
        <v/>
      </c>
      <c r="I20" s="11">
        <f>E20/参数!$B$4</f>
        <v/>
      </c>
      <c r="J20" s="11">
        <f>MIN(H20,I20)</f>
        <v/>
      </c>
      <c r="K20" s="15">
        <f>IF(I20&lt;H20,"⚡受限","")</f>
        <v/>
      </c>
      <c r="L20" s="11">
        <f>J20*B20</f>
        <v/>
      </c>
      <c r="M20" s="11">
        <f>参数!$B$10*参数!$B$11*(1+参数!$B$19*W19)*AA19</f>
        <v/>
      </c>
      <c r="N20" s="11">
        <f>T19+M20</f>
        <v/>
      </c>
      <c r="O20" s="11">
        <f>L20*参数!$B$13</f>
        <v/>
      </c>
      <c r="P20" s="13">
        <f>IF(O20=0,1,MIN(1,N20/O20))</f>
        <v/>
      </c>
      <c r="Q20" s="11">
        <f>L20*P20</f>
        <v/>
      </c>
      <c r="R20" s="11">
        <f>R19+Q20</f>
        <v/>
      </c>
      <c r="S20" s="11">
        <f>1+IF(R20&gt;=参数!$B$14,1,0)+IF(R20&gt;=参数!$B$15,1,0)+IF(R20&gt;=参数!$B$16,1,0)</f>
        <v/>
      </c>
      <c r="T20" s="11">
        <f>N20-O20*P20</f>
        <v/>
      </c>
      <c r="U20" s="11">
        <f>J20*D20</f>
        <v/>
      </c>
      <c r="V20" s="11">
        <f>V19+U20</f>
        <v/>
      </c>
      <c r="W20" s="11">
        <f>INT(V20/参数!$B$18)</f>
        <v/>
      </c>
      <c r="X20" s="11">
        <f>J20*C20</f>
        <v/>
      </c>
      <c r="Y20" s="11">
        <f>参数!$B$20+参数!$B$21*(A20-1)</f>
        <v/>
      </c>
      <c r="Z20" s="13">
        <f>MIN(1,X20/Y20)</f>
        <v/>
      </c>
      <c r="AA20" s="14">
        <f>参数!$B$22+(1-参数!$B$22)*Z20</f>
        <v/>
      </c>
      <c r="AB20" s="11">
        <f>参数!$B$9*(1+参数!$B$19*W19)*AA19</f>
        <v/>
      </c>
      <c r="AC20" s="11">
        <f>AF19+AB20</f>
        <v/>
      </c>
      <c r="AD20" s="11">
        <f>MIN(AC20,参数!$B$7)</f>
        <v/>
      </c>
      <c r="AE20" s="11">
        <f>AD20/参数!$B$6</f>
        <v/>
      </c>
      <c r="AF20" s="11">
        <f>AC20-AD20</f>
        <v/>
      </c>
      <c r="AG20" s="11">
        <f>X20*G20</f>
        <v/>
      </c>
    </row>
    <row r="21">
      <c r="A21" s="11" t="n">
        <v>18</v>
      </c>
      <c r="B21" s="12" t="n">
        <v>0.15</v>
      </c>
      <c r="C21" s="12" t="n">
        <v>0.65</v>
      </c>
      <c r="D21" s="13">
        <f>1-B21-C21</f>
        <v/>
      </c>
      <c r="E21" s="11">
        <f>参数!$B$2+参数!$B$3*(A21-1)</f>
        <v/>
      </c>
      <c r="F21" s="11">
        <f>F20+AE20</f>
        <v/>
      </c>
      <c r="G21" s="14">
        <f>1+参数!$B$17*(S20-1)</f>
        <v/>
      </c>
      <c r="H21" s="11">
        <f>F21*G21</f>
        <v/>
      </c>
      <c r="I21" s="11">
        <f>E21/参数!$B$4</f>
        <v/>
      </c>
      <c r="J21" s="11">
        <f>MIN(H21,I21)</f>
        <v/>
      </c>
      <c r="K21" s="15">
        <f>IF(I21&lt;H21,"⚡受限","")</f>
        <v/>
      </c>
      <c r="L21" s="11">
        <f>J21*B21</f>
        <v/>
      </c>
      <c r="M21" s="11">
        <f>参数!$B$10*参数!$B$11*(1+参数!$B$19*W20)*AA20</f>
        <v/>
      </c>
      <c r="N21" s="11">
        <f>T20+M21</f>
        <v/>
      </c>
      <c r="O21" s="11">
        <f>L21*参数!$B$13</f>
        <v/>
      </c>
      <c r="P21" s="13">
        <f>IF(O21=0,1,MIN(1,N21/O21))</f>
        <v/>
      </c>
      <c r="Q21" s="11">
        <f>L21*P21</f>
        <v/>
      </c>
      <c r="R21" s="11">
        <f>R20+Q21</f>
        <v/>
      </c>
      <c r="S21" s="11">
        <f>1+IF(R21&gt;=参数!$B$14,1,0)+IF(R21&gt;=参数!$B$15,1,0)+IF(R21&gt;=参数!$B$16,1,0)</f>
        <v/>
      </c>
      <c r="T21" s="11">
        <f>N21-O21*P21</f>
        <v/>
      </c>
      <c r="U21" s="11">
        <f>J21*D21</f>
        <v/>
      </c>
      <c r="V21" s="11">
        <f>V20+U21</f>
        <v/>
      </c>
      <c r="W21" s="11">
        <f>INT(V21/参数!$B$18)</f>
        <v/>
      </c>
      <c r="X21" s="11">
        <f>J21*C21</f>
        <v/>
      </c>
      <c r="Y21" s="11">
        <f>参数!$B$20+参数!$B$21*(A21-1)</f>
        <v/>
      </c>
      <c r="Z21" s="13">
        <f>MIN(1,X21/Y21)</f>
        <v/>
      </c>
      <c r="AA21" s="14">
        <f>参数!$B$22+(1-参数!$B$22)*Z21</f>
        <v/>
      </c>
      <c r="AB21" s="11">
        <f>参数!$B$9*(1+参数!$B$19*W20)*AA20</f>
        <v/>
      </c>
      <c r="AC21" s="11">
        <f>AF20+AB21</f>
        <v/>
      </c>
      <c r="AD21" s="11">
        <f>MIN(AC21,参数!$B$7)</f>
        <v/>
      </c>
      <c r="AE21" s="11">
        <f>AD21/参数!$B$6</f>
        <v/>
      </c>
      <c r="AF21" s="11">
        <f>AC21-AD21</f>
        <v/>
      </c>
      <c r="AG21" s="11">
        <f>X21*G21</f>
        <v/>
      </c>
    </row>
    <row r="22">
      <c r="A22" s="11" t="n">
        <v>19</v>
      </c>
      <c r="B22" s="12" t="n">
        <v>0.15</v>
      </c>
      <c r="C22" s="12" t="n">
        <v>0.65</v>
      </c>
      <c r="D22" s="13">
        <f>1-B22-C22</f>
        <v/>
      </c>
      <c r="E22" s="11">
        <f>参数!$B$2+参数!$B$3*(A22-1)</f>
        <v/>
      </c>
      <c r="F22" s="11">
        <f>F21+AE21</f>
        <v/>
      </c>
      <c r="G22" s="14">
        <f>1+参数!$B$17*(S21-1)</f>
        <v/>
      </c>
      <c r="H22" s="11">
        <f>F22*G22</f>
        <v/>
      </c>
      <c r="I22" s="11">
        <f>E22/参数!$B$4</f>
        <v/>
      </c>
      <c r="J22" s="11">
        <f>MIN(H22,I22)</f>
        <v/>
      </c>
      <c r="K22" s="15">
        <f>IF(I22&lt;H22,"⚡受限","")</f>
        <v/>
      </c>
      <c r="L22" s="11">
        <f>J22*B22</f>
        <v/>
      </c>
      <c r="M22" s="11">
        <f>参数!$B$10*参数!$B$11*(1+参数!$B$19*W21)*AA21</f>
        <v/>
      </c>
      <c r="N22" s="11">
        <f>T21+M22</f>
        <v/>
      </c>
      <c r="O22" s="11">
        <f>L22*参数!$B$13</f>
        <v/>
      </c>
      <c r="P22" s="13">
        <f>IF(O22=0,1,MIN(1,N22/O22))</f>
        <v/>
      </c>
      <c r="Q22" s="11">
        <f>L22*P22</f>
        <v/>
      </c>
      <c r="R22" s="11">
        <f>R21+Q22</f>
        <v/>
      </c>
      <c r="S22" s="11">
        <f>1+IF(R22&gt;=参数!$B$14,1,0)+IF(R22&gt;=参数!$B$15,1,0)+IF(R22&gt;=参数!$B$16,1,0)</f>
        <v/>
      </c>
      <c r="T22" s="11">
        <f>N22-O22*P22</f>
        <v/>
      </c>
      <c r="U22" s="11">
        <f>J22*D22</f>
        <v/>
      </c>
      <c r="V22" s="11">
        <f>V21+U22</f>
        <v/>
      </c>
      <c r="W22" s="11">
        <f>INT(V22/参数!$B$18)</f>
        <v/>
      </c>
      <c r="X22" s="11">
        <f>J22*C22</f>
        <v/>
      </c>
      <c r="Y22" s="11">
        <f>参数!$B$20+参数!$B$21*(A22-1)</f>
        <v/>
      </c>
      <c r="Z22" s="13">
        <f>MIN(1,X22/Y22)</f>
        <v/>
      </c>
      <c r="AA22" s="14">
        <f>参数!$B$22+(1-参数!$B$22)*Z22</f>
        <v/>
      </c>
      <c r="AB22" s="11">
        <f>参数!$B$9*(1+参数!$B$19*W21)*AA21</f>
        <v/>
      </c>
      <c r="AC22" s="11">
        <f>AF21+AB22</f>
        <v/>
      </c>
      <c r="AD22" s="11">
        <f>MIN(AC22,参数!$B$7)</f>
        <v/>
      </c>
      <c r="AE22" s="11">
        <f>AD22/参数!$B$6</f>
        <v/>
      </c>
      <c r="AF22" s="11">
        <f>AC22-AD22</f>
        <v/>
      </c>
      <c r="AG22" s="11">
        <f>X22*G22</f>
        <v/>
      </c>
    </row>
    <row r="23">
      <c r="A23" s="11" t="n">
        <v>20</v>
      </c>
      <c r="B23" s="12" t="n">
        <v>0.15</v>
      </c>
      <c r="C23" s="12" t="n">
        <v>0.65</v>
      </c>
      <c r="D23" s="13">
        <f>1-B23-C23</f>
        <v/>
      </c>
      <c r="E23" s="11">
        <f>参数!$B$2+参数!$B$3*(A23-1)</f>
        <v/>
      </c>
      <c r="F23" s="11">
        <f>F22+AE22</f>
        <v/>
      </c>
      <c r="G23" s="14">
        <f>1+参数!$B$17*(S22-1)</f>
        <v/>
      </c>
      <c r="H23" s="11">
        <f>F23*G23</f>
        <v/>
      </c>
      <c r="I23" s="11">
        <f>E23/参数!$B$4</f>
        <v/>
      </c>
      <c r="J23" s="11">
        <f>MIN(H23,I23)</f>
        <v/>
      </c>
      <c r="K23" s="15">
        <f>IF(I23&lt;H23,"⚡受限","")</f>
        <v/>
      </c>
      <c r="L23" s="11">
        <f>J23*B23</f>
        <v/>
      </c>
      <c r="M23" s="11">
        <f>参数!$B$10*参数!$B$11*(1+参数!$B$19*W22)*AA22</f>
        <v/>
      </c>
      <c r="N23" s="11">
        <f>T22+M23</f>
        <v/>
      </c>
      <c r="O23" s="11">
        <f>L23*参数!$B$13</f>
        <v/>
      </c>
      <c r="P23" s="13">
        <f>IF(O23=0,1,MIN(1,N23/O23))</f>
        <v/>
      </c>
      <c r="Q23" s="11">
        <f>L23*P23</f>
        <v/>
      </c>
      <c r="R23" s="11">
        <f>R22+Q23</f>
        <v/>
      </c>
      <c r="S23" s="11">
        <f>1+IF(R23&gt;=参数!$B$14,1,0)+IF(R23&gt;=参数!$B$15,1,0)+IF(R23&gt;=参数!$B$16,1,0)</f>
        <v/>
      </c>
      <c r="T23" s="11">
        <f>N23-O23*P23</f>
        <v/>
      </c>
      <c r="U23" s="11">
        <f>J23*D23</f>
        <v/>
      </c>
      <c r="V23" s="11">
        <f>V22+U23</f>
        <v/>
      </c>
      <c r="W23" s="11">
        <f>INT(V23/参数!$B$18)</f>
        <v/>
      </c>
      <c r="X23" s="11">
        <f>J23*C23</f>
        <v/>
      </c>
      <c r="Y23" s="11">
        <f>参数!$B$20+参数!$B$21*(A23-1)</f>
        <v/>
      </c>
      <c r="Z23" s="13">
        <f>MIN(1,X23/Y23)</f>
        <v/>
      </c>
      <c r="AA23" s="14">
        <f>参数!$B$22+(1-参数!$B$22)*Z23</f>
        <v/>
      </c>
      <c r="AB23" s="11">
        <f>参数!$B$9*(1+参数!$B$19*W22)*AA22</f>
        <v/>
      </c>
      <c r="AC23" s="11">
        <f>AF22+AB23</f>
        <v/>
      </c>
      <c r="AD23" s="11">
        <f>MIN(AC23,参数!$B$7)</f>
        <v/>
      </c>
      <c r="AE23" s="11">
        <f>AD23/参数!$B$6</f>
        <v/>
      </c>
      <c r="AF23" s="11">
        <f>AC23-AD23</f>
        <v/>
      </c>
      <c r="AG23" s="11">
        <f>X23*G23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8.5" customWidth="1" min="32" max="32"/>
    <col width="8.5" customWidth="1" min="33" max="33"/>
  </cols>
  <sheetData>
    <row r="1">
      <c r="A1" s="10" t="inlineStr">
        <is>
          <t>情景D科研 —— 科研经济流：研发滚雪球（训练 20% / 推理 30% / 研发 50%）</t>
        </is>
      </c>
    </row>
    <row r="2">
      <c r="A2" s="7" t="inlineStr">
        <is>
          <t>蓝色列逐回合可调；其余全部为公式</t>
        </is>
      </c>
    </row>
    <row r="3" ht="30" customHeight="1">
      <c r="A3" s="4" t="inlineStr">
        <is>
          <t>回合</t>
        </is>
      </c>
      <c r="B3" s="4" t="inlineStr">
        <is>
          <t>训练%</t>
        </is>
      </c>
      <c r="C3" s="4" t="inlineStr">
        <is>
          <t>推理%</t>
        </is>
      </c>
      <c r="D3" s="4" t="inlineStr">
        <is>
          <t>研发%
(自动)</t>
        </is>
      </c>
      <c r="E3" s="4" t="inlineStr">
        <is>
          <t>电力
供给</t>
        </is>
      </c>
      <c r="F3" s="4" t="inlineStr">
        <is>
          <t>数据中心
容量</t>
        </is>
      </c>
      <c r="G3" s="4" t="inlineStr">
        <is>
          <t>代际
系数</t>
        </is>
      </c>
      <c r="H3" s="4" t="inlineStr">
        <is>
          <t>理论
算力</t>
        </is>
      </c>
      <c r="I3" s="4" t="inlineStr">
        <is>
          <t>电力上限
算力</t>
        </is>
      </c>
      <c r="J3" s="4" t="inlineStr">
        <is>
          <t>实际
算力</t>
        </is>
      </c>
      <c r="K3" s="4" t="inlineStr">
        <is>
          <t>电力
受限</t>
        </is>
      </c>
      <c r="L3" s="4" t="inlineStr">
        <is>
          <t>训练
算力</t>
        </is>
      </c>
      <c r="M3" s="4" t="inlineStr">
        <is>
          <t>数据
产出</t>
        </is>
      </c>
      <c r="N3" s="4" t="inlineStr">
        <is>
          <t>可用
数据</t>
        </is>
      </c>
      <c r="O3" s="4" t="inlineStr">
        <is>
          <t>训练需
数据</t>
        </is>
      </c>
      <c r="P3" s="4" t="inlineStr">
        <is>
          <t>数据
满足率</t>
        </is>
      </c>
      <c r="Q3" s="4" t="inlineStr">
        <is>
          <t>有效
训练</t>
        </is>
      </c>
      <c r="R3" s="4" t="inlineStr">
        <is>
          <t>累积
训练</t>
        </is>
      </c>
      <c r="S3" s="4" t="inlineStr">
        <is>
          <t>代际</t>
        </is>
      </c>
      <c r="T3" s="4" t="inlineStr">
        <is>
          <t>数据池
余量</t>
        </is>
      </c>
      <c r="U3" s="4" t="inlineStr">
        <is>
          <t>研发
算力</t>
        </is>
      </c>
      <c r="V3" s="4" t="inlineStr">
        <is>
          <t>科技点</t>
        </is>
      </c>
      <c r="W3" s="4" t="inlineStr">
        <is>
          <t>科技
等级</t>
        </is>
      </c>
      <c r="X3" s="4" t="inlineStr">
        <is>
          <t>推理
算力</t>
        </is>
      </c>
      <c r="Y3" s="4" t="inlineStr">
        <is>
          <t>推理
需求</t>
        </is>
      </c>
      <c r="Z3" s="4" t="inlineStr">
        <is>
          <t>推理
供给率</t>
        </is>
      </c>
      <c r="AA3" s="4" t="inlineStr">
        <is>
          <t>经济
系数</t>
        </is>
      </c>
      <c r="AB3" s="4" t="inlineStr">
        <is>
          <t>芯片
产出</t>
        </is>
      </c>
      <c r="AC3" s="4" t="inlineStr">
        <is>
          <t>芯片
可用</t>
        </is>
      </c>
      <c r="AD3" s="4" t="inlineStr">
        <is>
          <t>芯片
投资</t>
        </is>
      </c>
      <c r="AE3" s="4" t="inlineStr">
        <is>
          <t>新增容量
(次回合)</t>
        </is>
      </c>
      <c r="AF3" s="4" t="inlineStr">
        <is>
          <t>芯片
库存</t>
        </is>
      </c>
      <c r="AG3" s="4" t="inlineStr">
        <is>
          <t>军力
指数</t>
        </is>
      </c>
    </row>
    <row r="4">
      <c r="A4" s="11" t="n">
        <v>1</v>
      </c>
      <c r="B4" s="12" t="n">
        <v>0.2</v>
      </c>
      <c r="C4" s="12" t="n">
        <v>0.3</v>
      </c>
      <c r="D4" s="13">
        <f>1-B4-C4</f>
        <v/>
      </c>
      <c r="E4" s="11">
        <f>参数!$B$2+参数!$B$3*(A4-1)</f>
        <v/>
      </c>
      <c r="F4" s="11">
        <f>参数!$B$5</f>
        <v/>
      </c>
      <c r="G4" s="14">
        <f>1</f>
        <v/>
      </c>
      <c r="H4" s="11">
        <f>F4*G4</f>
        <v/>
      </c>
      <c r="I4" s="11">
        <f>E4/参数!$B$4</f>
        <v/>
      </c>
      <c r="J4" s="11">
        <f>MIN(H4,I4)</f>
        <v/>
      </c>
      <c r="K4" s="15">
        <f>IF(I4&lt;H4,"⚡受限","")</f>
        <v/>
      </c>
      <c r="L4" s="11">
        <f>J4*B4</f>
        <v/>
      </c>
      <c r="M4" s="11">
        <f>参数!$B$10*参数!$B$11</f>
        <v/>
      </c>
      <c r="N4" s="11">
        <f>参数!$B$12+M4</f>
        <v/>
      </c>
      <c r="O4" s="11">
        <f>L4*参数!$B$13</f>
        <v/>
      </c>
      <c r="P4" s="13">
        <f>IF(O4=0,1,MIN(1,N4/O4))</f>
        <v/>
      </c>
      <c r="Q4" s="11">
        <f>L4*P4</f>
        <v/>
      </c>
      <c r="R4" s="11">
        <f>Q4</f>
        <v/>
      </c>
      <c r="S4" s="11">
        <f>1+IF(R4&gt;=参数!$B$14,1,0)+IF(R4&gt;=参数!$B$15,1,0)+IF(R4&gt;=参数!$B$16,1,0)</f>
        <v/>
      </c>
      <c r="T4" s="11">
        <f>N4-O4*P4</f>
        <v/>
      </c>
      <c r="U4" s="11">
        <f>J4*D4</f>
        <v/>
      </c>
      <c r="V4" s="11">
        <f>U4</f>
        <v/>
      </c>
      <c r="W4" s="11">
        <f>INT(V4/参数!$B$18)</f>
        <v/>
      </c>
      <c r="X4" s="11">
        <f>J4*C4</f>
        <v/>
      </c>
      <c r="Y4" s="11">
        <f>参数!$B$20+参数!$B$21*(A4-1)</f>
        <v/>
      </c>
      <c r="Z4" s="13">
        <f>MIN(1,X4/Y4)</f>
        <v/>
      </c>
      <c r="AA4" s="14">
        <f>参数!$B$22+(1-参数!$B$22)*Z4</f>
        <v/>
      </c>
      <c r="AB4" s="11">
        <f>参数!$B$9</f>
        <v/>
      </c>
      <c r="AC4" s="11">
        <f>参数!$B$8+AB4</f>
        <v/>
      </c>
      <c r="AD4" s="11">
        <f>MIN(AC4,参数!$B$7)</f>
        <v/>
      </c>
      <c r="AE4" s="11">
        <f>AD4/参数!$B$6</f>
        <v/>
      </c>
      <c r="AF4" s="11">
        <f>AC4-AD4</f>
        <v/>
      </c>
      <c r="AG4" s="11">
        <f>X4*G4</f>
        <v/>
      </c>
    </row>
    <row r="5">
      <c r="A5" s="11" t="n">
        <v>2</v>
      </c>
      <c r="B5" s="12" t="n">
        <v>0.2</v>
      </c>
      <c r="C5" s="12" t="n">
        <v>0.3</v>
      </c>
      <c r="D5" s="13">
        <f>1-B5-C5</f>
        <v/>
      </c>
      <c r="E5" s="11">
        <f>参数!$B$2+参数!$B$3*(A5-1)</f>
        <v/>
      </c>
      <c r="F5" s="11">
        <f>F4+AE4</f>
        <v/>
      </c>
      <c r="G5" s="14">
        <f>1+参数!$B$17*(S4-1)</f>
        <v/>
      </c>
      <c r="H5" s="11">
        <f>F5*G5</f>
        <v/>
      </c>
      <c r="I5" s="11">
        <f>E5/参数!$B$4</f>
        <v/>
      </c>
      <c r="J5" s="11">
        <f>MIN(H5,I5)</f>
        <v/>
      </c>
      <c r="K5" s="15">
        <f>IF(I5&lt;H5,"⚡受限","")</f>
        <v/>
      </c>
      <c r="L5" s="11">
        <f>J5*B5</f>
        <v/>
      </c>
      <c r="M5" s="11">
        <f>参数!$B$10*参数!$B$11*(1+参数!$B$19*W4)*AA4</f>
        <v/>
      </c>
      <c r="N5" s="11">
        <f>T4+M5</f>
        <v/>
      </c>
      <c r="O5" s="11">
        <f>L5*参数!$B$13</f>
        <v/>
      </c>
      <c r="P5" s="13">
        <f>IF(O5=0,1,MIN(1,N5/O5))</f>
        <v/>
      </c>
      <c r="Q5" s="11">
        <f>L5*P5</f>
        <v/>
      </c>
      <c r="R5" s="11">
        <f>R4+Q5</f>
        <v/>
      </c>
      <c r="S5" s="11">
        <f>1+IF(R5&gt;=参数!$B$14,1,0)+IF(R5&gt;=参数!$B$15,1,0)+IF(R5&gt;=参数!$B$16,1,0)</f>
        <v/>
      </c>
      <c r="T5" s="11">
        <f>N5-O5*P5</f>
        <v/>
      </c>
      <c r="U5" s="11">
        <f>J5*D5</f>
        <v/>
      </c>
      <c r="V5" s="11">
        <f>V4+U5</f>
        <v/>
      </c>
      <c r="W5" s="11">
        <f>INT(V5/参数!$B$18)</f>
        <v/>
      </c>
      <c r="X5" s="11">
        <f>J5*C5</f>
        <v/>
      </c>
      <c r="Y5" s="11">
        <f>参数!$B$20+参数!$B$21*(A5-1)</f>
        <v/>
      </c>
      <c r="Z5" s="13">
        <f>MIN(1,X5/Y5)</f>
        <v/>
      </c>
      <c r="AA5" s="14">
        <f>参数!$B$22+(1-参数!$B$22)*Z5</f>
        <v/>
      </c>
      <c r="AB5" s="11">
        <f>参数!$B$9*(1+参数!$B$19*W4)*AA4</f>
        <v/>
      </c>
      <c r="AC5" s="11">
        <f>AF4+AB5</f>
        <v/>
      </c>
      <c r="AD5" s="11">
        <f>MIN(AC5,参数!$B$7)</f>
        <v/>
      </c>
      <c r="AE5" s="11">
        <f>AD5/参数!$B$6</f>
        <v/>
      </c>
      <c r="AF5" s="11">
        <f>AC5-AD5</f>
        <v/>
      </c>
      <c r="AG5" s="11">
        <f>X5*G5</f>
        <v/>
      </c>
    </row>
    <row r="6">
      <c r="A6" s="11" t="n">
        <v>3</v>
      </c>
      <c r="B6" s="12" t="n">
        <v>0.2</v>
      </c>
      <c r="C6" s="12" t="n">
        <v>0.3</v>
      </c>
      <c r="D6" s="13">
        <f>1-B6-C6</f>
        <v/>
      </c>
      <c r="E6" s="11">
        <f>参数!$B$2+参数!$B$3*(A6-1)</f>
        <v/>
      </c>
      <c r="F6" s="11">
        <f>F5+AE5</f>
        <v/>
      </c>
      <c r="G6" s="14">
        <f>1+参数!$B$17*(S5-1)</f>
        <v/>
      </c>
      <c r="H6" s="11">
        <f>F6*G6</f>
        <v/>
      </c>
      <c r="I6" s="11">
        <f>E6/参数!$B$4</f>
        <v/>
      </c>
      <c r="J6" s="11">
        <f>MIN(H6,I6)</f>
        <v/>
      </c>
      <c r="K6" s="15">
        <f>IF(I6&lt;H6,"⚡受限","")</f>
        <v/>
      </c>
      <c r="L6" s="11">
        <f>J6*B6</f>
        <v/>
      </c>
      <c r="M6" s="11">
        <f>参数!$B$10*参数!$B$11*(1+参数!$B$19*W5)*AA5</f>
        <v/>
      </c>
      <c r="N6" s="11">
        <f>T5+M6</f>
        <v/>
      </c>
      <c r="O6" s="11">
        <f>L6*参数!$B$13</f>
        <v/>
      </c>
      <c r="P6" s="13">
        <f>IF(O6=0,1,MIN(1,N6/O6))</f>
        <v/>
      </c>
      <c r="Q6" s="11">
        <f>L6*P6</f>
        <v/>
      </c>
      <c r="R6" s="11">
        <f>R5+Q6</f>
        <v/>
      </c>
      <c r="S6" s="11">
        <f>1+IF(R6&gt;=参数!$B$14,1,0)+IF(R6&gt;=参数!$B$15,1,0)+IF(R6&gt;=参数!$B$16,1,0)</f>
        <v/>
      </c>
      <c r="T6" s="11">
        <f>N6-O6*P6</f>
        <v/>
      </c>
      <c r="U6" s="11">
        <f>J6*D6</f>
        <v/>
      </c>
      <c r="V6" s="11">
        <f>V5+U6</f>
        <v/>
      </c>
      <c r="W6" s="11">
        <f>INT(V6/参数!$B$18)</f>
        <v/>
      </c>
      <c r="X6" s="11">
        <f>J6*C6</f>
        <v/>
      </c>
      <c r="Y6" s="11">
        <f>参数!$B$20+参数!$B$21*(A6-1)</f>
        <v/>
      </c>
      <c r="Z6" s="13">
        <f>MIN(1,X6/Y6)</f>
        <v/>
      </c>
      <c r="AA6" s="14">
        <f>参数!$B$22+(1-参数!$B$22)*Z6</f>
        <v/>
      </c>
      <c r="AB6" s="11">
        <f>参数!$B$9*(1+参数!$B$19*W5)*AA5</f>
        <v/>
      </c>
      <c r="AC6" s="11">
        <f>AF5+AB6</f>
        <v/>
      </c>
      <c r="AD6" s="11">
        <f>MIN(AC6,参数!$B$7)</f>
        <v/>
      </c>
      <c r="AE6" s="11">
        <f>AD6/参数!$B$6</f>
        <v/>
      </c>
      <c r="AF6" s="11">
        <f>AC6-AD6</f>
        <v/>
      </c>
      <c r="AG6" s="11">
        <f>X6*G6</f>
        <v/>
      </c>
    </row>
    <row r="7">
      <c r="A7" s="11" t="n">
        <v>4</v>
      </c>
      <c r="B7" s="12" t="n">
        <v>0.2</v>
      </c>
      <c r="C7" s="12" t="n">
        <v>0.3</v>
      </c>
      <c r="D7" s="13">
        <f>1-B7-C7</f>
        <v/>
      </c>
      <c r="E7" s="11">
        <f>参数!$B$2+参数!$B$3*(A7-1)</f>
        <v/>
      </c>
      <c r="F7" s="11">
        <f>F6+AE6</f>
        <v/>
      </c>
      <c r="G7" s="14">
        <f>1+参数!$B$17*(S6-1)</f>
        <v/>
      </c>
      <c r="H7" s="11">
        <f>F7*G7</f>
        <v/>
      </c>
      <c r="I7" s="11">
        <f>E7/参数!$B$4</f>
        <v/>
      </c>
      <c r="J7" s="11">
        <f>MIN(H7,I7)</f>
        <v/>
      </c>
      <c r="K7" s="15">
        <f>IF(I7&lt;H7,"⚡受限","")</f>
        <v/>
      </c>
      <c r="L7" s="11">
        <f>J7*B7</f>
        <v/>
      </c>
      <c r="M7" s="11">
        <f>参数!$B$10*参数!$B$11*(1+参数!$B$19*W6)*AA6</f>
        <v/>
      </c>
      <c r="N7" s="11">
        <f>T6+M7</f>
        <v/>
      </c>
      <c r="O7" s="11">
        <f>L7*参数!$B$13</f>
        <v/>
      </c>
      <c r="P7" s="13">
        <f>IF(O7=0,1,MIN(1,N7/O7))</f>
        <v/>
      </c>
      <c r="Q7" s="11">
        <f>L7*P7</f>
        <v/>
      </c>
      <c r="R7" s="11">
        <f>R6+Q7</f>
        <v/>
      </c>
      <c r="S7" s="11">
        <f>1+IF(R7&gt;=参数!$B$14,1,0)+IF(R7&gt;=参数!$B$15,1,0)+IF(R7&gt;=参数!$B$16,1,0)</f>
        <v/>
      </c>
      <c r="T7" s="11">
        <f>N7-O7*P7</f>
        <v/>
      </c>
      <c r="U7" s="11">
        <f>J7*D7</f>
        <v/>
      </c>
      <c r="V7" s="11">
        <f>V6+U7</f>
        <v/>
      </c>
      <c r="W7" s="11">
        <f>INT(V7/参数!$B$18)</f>
        <v/>
      </c>
      <c r="X7" s="11">
        <f>J7*C7</f>
        <v/>
      </c>
      <c r="Y7" s="11">
        <f>参数!$B$20+参数!$B$21*(A7-1)</f>
        <v/>
      </c>
      <c r="Z7" s="13">
        <f>MIN(1,X7/Y7)</f>
        <v/>
      </c>
      <c r="AA7" s="14">
        <f>参数!$B$22+(1-参数!$B$22)*Z7</f>
        <v/>
      </c>
      <c r="AB7" s="11">
        <f>参数!$B$9*(1+参数!$B$19*W6)*AA6</f>
        <v/>
      </c>
      <c r="AC7" s="11">
        <f>AF6+AB7</f>
        <v/>
      </c>
      <c r="AD7" s="11">
        <f>MIN(AC7,参数!$B$7)</f>
        <v/>
      </c>
      <c r="AE7" s="11">
        <f>AD7/参数!$B$6</f>
        <v/>
      </c>
      <c r="AF7" s="11">
        <f>AC7-AD7</f>
        <v/>
      </c>
      <c r="AG7" s="11">
        <f>X7*G7</f>
        <v/>
      </c>
    </row>
    <row r="8">
      <c r="A8" s="11" t="n">
        <v>5</v>
      </c>
      <c r="B8" s="12" t="n">
        <v>0.2</v>
      </c>
      <c r="C8" s="12" t="n">
        <v>0.3</v>
      </c>
      <c r="D8" s="13">
        <f>1-B8-C8</f>
        <v/>
      </c>
      <c r="E8" s="11">
        <f>参数!$B$2+参数!$B$3*(A8-1)</f>
        <v/>
      </c>
      <c r="F8" s="11">
        <f>F7+AE7</f>
        <v/>
      </c>
      <c r="G8" s="14">
        <f>1+参数!$B$17*(S7-1)</f>
        <v/>
      </c>
      <c r="H8" s="11">
        <f>F8*G8</f>
        <v/>
      </c>
      <c r="I8" s="11">
        <f>E8/参数!$B$4</f>
        <v/>
      </c>
      <c r="J8" s="11">
        <f>MIN(H8,I8)</f>
        <v/>
      </c>
      <c r="K8" s="15">
        <f>IF(I8&lt;H8,"⚡受限","")</f>
        <v/>
      </c>
      <c r="L8" s="11">
        <f>J8*B8</f>
        <v/>
      </c>
      <c r="M8" s="11">
        <f>参数!$B$10*参数!$B$11*(1+参数!$B$19*W7)*AA7</f>
        <v/>
      </c>
      <c r="N8" s="11">
        <f>T7+M8</f>
        <v/>
      </c>
      <c r="O8" s="11">
        <f>L8*参数!$B$13</f>
        <v/>
      </c>
      <c r="P8" s="13">
        <f>IF(O8=0,1,MIN(1,N8/O8))</f>
        <v/>
      </c>
      <c r="Q8" s="11">
        <f>L8*P8</f>
        <v/>
      </c>
      <c r="R8" s="11">
        <f>R7+Q8</f>
        <v/>
      </c>
      <c r="S8" s="11">
        <f>1+IF(R8&gt;=参数!$B$14,1,0)+IF(R8&gt;=参数!$B$15,1,0)+IF(R8&gt;=参数!$B$16,1,0)</f>
        <v/>
      </c>
      <c r="T8" s="11">
        <f>N8-O8*P8</f>
        <v/>
      </c>
      <c r="U8" s="11">
        <f>J8*D8</f>
        <v/>
      </c>
      <c r="V8" s="11">
        <f>V7+U8</f>
        <v/>
      </c>
      <c r="W8" s="11">
        <f>INT(V8/参数!$B$18)</f>
        <v/>
      </c>
      <c r="X8" s="11">
        <f>J8*C8</f>
        <v/>
      </c>
      <c r="Y8" s="11">
        <f>参数!$B$20+参数!$B$21*(A8-1)</f>
        <v/>
      </c>
      <c r="Z8" s="13">
        <f>MIN(1,X8/Y8)</f>
        <v/>
      </c>
      <c r="AA8" s="14">
        <f>参数!$B$22+(1-参数!$B$22)*Z8</f>
        <v/>
      </c>
      <c r="AB8" s="11">
        <f>参数!$B$9*(1+参数!$B$19*W7)*AA7</f>
        <v/>
      </c>
      <c r="AC8" s="11">
        <f>AF7+AB8</f>
        <v/>
      </c>
      <c r="AD8" s="11">
        <f>MIN(AC8,参数!$B$7)</f>
        <v/>
      </c>
      <c r="AE8" s="11">
        <f>AD8/参数!$B$6</f>
        <v/>
      </c>
      <c r="AF8" s="11">
        <f>AC8-AD8</f>
        <v/>
      </c>
      <c r="AG8" s="11">
        <f>X8*G8</f>
        <v/>
      </c>
    </row>
    <row r="9">
      <c r="A9" s="11" t="n">
        <v>6</v>
      </c>
      <c r="B9" s="12" t="n">
        <v>0.2</v>
      </c>
      <c r="C9" s="12" t="n">
        <v>0.3</v>
      </c>
      <c r="D9" s="13">
        <f>1-B9-C9</f>
        <v/>
      </c>
      <c r="E9" s="11">
        <f>参数!$B$2+参数!$B$3*(A9-1)</f>
        <v/>
      </c>
      <c r="F9" s="11">
        <f>F8+AE8</f>
        <v/>
      </c>
      <c r="G9" s="14">
        <f>1+参数!$B$17*(S8-1)</f>
        <v/>
      </c>
      <c r="H9" s="11">
        <f>F9*G9</f>
        <v/>
      </c>
      <c r="I9" s="11">
        <f>E9/参数!$B$4</f>
        <v/>
      </c>
      <c r="J9" s="11">
        <f>MIN(H9,I9)</f>
        <v/>
      </c>
      <c r="K9" s="15">
        <f>IF(I9&lt;H9,"⚡受限","")</f>
        <v/>
      </c>
      <c r="L9" s="11">
        <f>J9*B9</f>
        <v/>
      </c>
      <c r="M9" s="11">
        <f>参数!$B$10*参数!$B$11*(1+参数!$B$19*W8)*AA8</f>
        <v/>
      </c>
      <c r="N9" s="11">
        <f>T8+M9</f>
        <v/>
      </c>
      <c r="O9" s="11">
        <f>L9*参数!$B$13</f>
        <v/>
      </c>
      <c r="P9" s="13">
        <f>IF(O9=0,1,MIN(1,N9/O9))</f>
        <v/>
      </c>
      <c r="Q9" s="11">
        <f>L9*P9</f>
        <v/>
      </c>
      <c r="R9" s="11">
        <f>R8+Q9</f>
        <v/>
      </c>
      <c r="S9" s="11">
        <f>1+IF(R9&gt;=参数!$B$14,1,0)+IF(R9&gt;=参数!$B$15,1,0)+IF(R9&gt;=参数!$B$16,1,0)</f>
        <v/>
      </c>
      <c r="T9" s="11">
        <f>N9-O9*P9</f>
        <v/>
      </c>
      <c r="U9" s="11">
        <f>J9*D9</f>
        <v/>
      </c>
      <c r="V9" s="11">
        <f>V8+U9</f>
        <v/>
      </c>
      <c r="W9" s="11">
        <f>INT(V9/参数!$B$18)</f>
        <v/>
      </c>
      <c r="X9" s="11">
        <f>J9*C9</f>
        <v/>
      </c>
      <c r="Y9" s="11">
        <f>参数!$B$20+参数!$B$21*(A9-1)</f>
        <v/>
      </c>
      <c r="Z9" s="13">
        <f>MIN(1,X9/Y9)</f>
        <v/>
      </c>
      <c r="AA9" s="14">
        <f>参数!$B$22+(1-参数!$B$22)*Z9</f>
        <v/>
      </c>
      <c r="AB9" s="11">
        <f>参数!$B$9*(1+参数!$B$19*W8)*AA8</f>
        <v/>
      </c>
      <c r="AC9" s="11">
        <f>AF8+AB9</f>
        <v/>
      </c>
      <c r="AD9" s="11">
        <f>MIN(AC9,参数!$B$7)</f>
        <v/>
      </c>
      <c r="AE9" s="11">
        <f>AD9/参数!$B$6</f>
        <v/>
      </c>
      <c r="AF9" s="11">
        <f>AC9-AD9</f>
        <v/>
      </c>
      <c r="AG9" s="11">
        <f>X9*G9</f>
        <v/>
      </c>
    </row>
    <row r="10">
      <c r="A10" s="11" t="n">
        <v>7</v>
      </c>
      <c r="B10" s="12" t="n">
        <v>0.2</v>
      </c>
      <c r="C10" s="12" t="n">
        <v>0.3</v>
      </c>
      <c r="D10" s="13">
        <f>1-B10-C10</f>
        <v/>
      </c>
      <c r="E10" s="11">
        <f>参数!$B$2+参数!$B$3*(A10-1)</f>
        <v/>
      </c>
      <c r="F10" s="11">
        <f>F9+AE9</f>
        <v/>
      </c>
      <c r="G10" s="14">
        <f>1+参数!$B$17*(S9-1)</f>
        <v/>
      </c>
      <c r="H10" s="11">
        <f>F10*G10</f>
        <v/>
      </c>
      <c r="I10" s="11">
        <f>E10/参数!$B$4</f>
        <v/>
      </c>
      <c r="J10" s="11">
        <f>MIN(H10,I10)</f>
        <v/>
      </c>
      <c r="K10" s="15">
        <f>IF(I10&lt;H10,"⚡受限","")</f>
        <v/>
      </c>
      <c r="L10" s="11">
        <f>J10*B10</f>
        <v/>
      </c>
      <c r="M10" s="11">
        <f>参数!$B$10*参数!$B$11*(1+参数!$B$19*W9)*AA9</f>
        <v/>
      </c>
      <c r="N10" s="11">
        <f>T9+M10</f>
        <v/>
      </c>
      <c r="O10" s="11">
        <f>L10*参数!$B$13</f>
        <v/>
      </c>
      <c r="P10" s="13">
        <f>IF(O10=0,1,MIN(1,N10/O10))</f>
        <v/>
      </c>
      <c r="Q10" s="11">
        <f>L10*P10</f>
        <v/>
      </c>
      <c r="R10" s="11">
        <f>R9+Q10</f>
        <v/>
      </c>
      <c r="S10" s="11">
        <f>1+IF(R10&gt;=参数!$B$14,1,0)+IF(R10&gt;=参数!$B$15,1,0)+IF(R10&gt;=参数!$B$16,1,0)</f>
        <v/>
      </c>
      <c r="T10" s="11">
        <f>N10-O10*P10</f>
        <v/>
      </c>
      <c r="U10" s="11">
        <f>J10*D10</f>
        <v/>
      </c>
      <c r="V10" s="11">
        <f>V9+U10</f>
        <v/>
      </c>
      <c r="W10" s="11">
        <f>INT(V10/参数!$B$18)</f>
        <v/>
      </c>
      <c r="X10" s="11">
        <f>J10*C10</f>
        <v/>
      </c>
      <c r="Y10" s="11">
        <f>参数!$B$20+参数!$B$21*(A10-1)</f>
        <v/>
      </c>
      <c r="Z10" s="13">
        <f>MIN(1,X10/Y10)</f>
        <v/>
      </c>
      <c r="AA10" s="14">
        <f>参数!$B$22+(1-参数!$B$22)*Z10</f>
        <v/>
      </c>
      <c r="AB10" s="11">
        <f>参数!$B$9*(1+参数!$B$19*W9)*AA9</f>
        <v/>
      </c>
      <c r="AC10" s="11">
        <f>AF9+AB10</f>
        <v/>
      </c>
      <c r="AD10" s="11">
        <f>MIN(AC10,参数!$B$7)</f>
        <v/>
      </c>
      <c r="AE10" s="11">
        <f>AD10/参数!$B$6</f>
        <v/>
      </c>
      <c r="AF10" s="11">
        <f>AC10-AD10</f>
        <v/>
      </c>
      <c r="AG10" s="11">
        <f>X10*G10</f>
        <v/>
      </c>
    </row>
    <row r="11">
      <c r="A11" s="11" t="n">
        <v>8</v>
      </c>
      <c r="B11" s="12" t="n">
        <v>0.2</v>
      </c>
      <c r="C11" s="12" t="n">
        <v>0.3</v>
      </c>
      <c r="D11" s="13">
        <f>1-B11-C11</f>
        <v/>
      </c>
      <c r="E11" s="11">
        <f>参数!$B$2+参数!$B$3*(A11-1)</f>
        <v/>
      </c>
      <c r="F11" s="11">
        <f>F10+AE10</f>
        <v/>
      </c>
      <c r="G11" s="14">
        <f>1+参数!$B$17*(S10-1)</f>
        <v/>
      </c>
      <c r="H11" s="11">
        <f>F11*G11</f>
        <v/>
      </c>
      <c r="I11" s="11">
        <f>E11/参数!$B$4</f>
        <v/>
      </c>
      <c r="J11" s="11">
        <f>MIN(H11,I11)</f>
        <v/>
      </c>
      <c r="K11" s="15">
        <f>IF(I11&lt;H11,"⚡受限","")</f>
        <v/>
      </c>
      <c r="L11" s="11">
        <f>J11*B11</f>
        <v/>
      </c>
      <c r="M11" s="11">
        <f>参数!$B$10*参数!$B$11*(1+参数!$B$19*W10)*AA10</f>
        <v/>
      </c>
      <c r="N11" s="11">
        <f>T10+M11</f>
        <v/>
      </c>
      <c r="O11" s="11">
        <f>L11*参数!$B$13</f>
        <v/>
      </c>
      <c r="P11" s="13">
        <f>IF(O11=0,1,MIN(1,N11/O11))</f>
        <v/>
      </c>
      <c r="Q11" s="11">
        <f>L11*P11</f>
        <v/>
      </c>
      <c r="R11" s="11">
        <f>R10+Q11</f>
        <v/>
      </c>
      <c r="S11" s="11">
        <f>1+IF(R11&gt;=参数!$B$14,1,0)+IF(R11&gt;=参数!$B$15,1,0)+IF(R11&gt;=参数!$B$16,1,0)</f>
        <v/>
      </c>
      <c r="T11" s="11">
        <f>N11-O11*P11</f>
        <v/>
      </c>
      <c r="U11" s="11">
        <f>J11*D11</f>
        <v/>
      </c>
      <c r="V11" s="11">
        <f>V10+U11</f>
        <v/>
      </c>
      <c r="W11" s="11">
        <f>INT(V11/参数!$B$18)</f>
        <v/>
      </c>
      <c r="X11" s="11">
        <f>J11*C11</f>
        <v/>
      </c>
      <c r="Y11" s="11">
        <f>参数!$B$20+参数!$B$21*(A11-1)</f>
        <v/>
      </c>
      <c r="Z11" s="13">
        <f>MIN(1,X11/Y11)</f>
        <v/>
      </c>
      <c r="AA11" s="14">
        <f>参数!$B$22+(1-参数!$B$22)*Z11</f>
        <v/>
      </c>
      <c r="AB11" s="11">
        <f>参数!$B$9*(1+参数!$B$19*W10)*AA10</f>
        <v/>
      </c>
      <c r="AC11" s="11">
        <f>AF10+AB11</f>
        <v/>
      </c>
      <c r="AD11" s="11">
        <f>MIN(AC11,参数!$B$7)</f>
        <v/>
      </c>
      <c r="AE11" s="11">
        <f>AD11/参数!$B$6</f>
        <v/>
      </c>
      <c r="AF11" s="11">
        <f>AC11-AD11</f>
        <v/>
      </c>
      <c r="AG11" s="11">
        <f>X11*G11</f>
        <v/>
      </c>
    </row>
    <row r="12">
      <c r="A12" s="11" t="n">
        <v>9</v>
      </c>
      <c r="B12" s="12" t="n">
        <v>0.2</v>
      </c>
      <c r="C12" s="12" t="n">
        <v>0.3</v>
      </c>
      <c r="D12" s="13">
        <f>1-B12-C12</f>
        <v/>
      </c>
      <c r="E12" s="11">
        <f>参数!$B$2+参数!$B$3*(A12-1)</f>
        <v/>
      </c>
      <c r="F12" s="11">
        <f>F11+AE11</f>
        <v/>
      </c>
      <c r="G12" s="14">
        <f>1+参数!$B$17*(S11-1)</f>
        <v/>
      </c>
      <c r="H12" s="11">
        <f>F12*G12</f>
        <v/>
      </c>
      <c r="I12" s="11">
        <f>E12/参数!$B$4</f>
        <v/>
      </c>
      <c r="J12" s="11">
        <f>MIN(H12,I12)</f>
        <v/>
      </c>
      <c r="K12" s="15">
        <f>IF(I12&lt;H12,"⚡受限","")</f>
        <v/>
      </c>
      <c r="L12" s="11">
        <f>J12*B12</f>
        <v/>
      </c>
      <c r="M12" s="11">
        <f>参数!$B$10*参数!$B$11*(1+参数!$B$19*W11)*AA11</f>
        <v/>
      </c>
      <c r="N12" s="11">
        <f>T11+M12</f>
        <v/>
      </c>
      <c r="O12" s="11">
        <f>L12*参数!$B$13</f>
        <v/>
      </c>
      <c r="P12" s="13">
        <f>IF(O12=0,1,MIN(1,N12/O12))</f>
        <v/>
      </c>
      <c r="Q12" s="11">
        <f>L12*P12</f>
        <v/>
      </c>
      <c r="R12" s="11">
        <f>R11+Q12</f>
        <v/>
      </c>
      <c r="S12" s="11">
        <f>1+IF(R12&gt;=参数!$B$14,1,0)+IF(R12&gt;=参数!$B$15,1,0)+IF(R12&gt;=参数!$B$16,1,0)</f>
        <v/>
      </c>
      <c r="T12" s="11">
        <f>N12-O12*P12</f>
        <v/>
      </c>
      <c r="U12" s="11">
        <f>J12*D12</f>
        <v/>
      </c>
      <c r="V12" s="11">
        <f>V11+U12</f>
        <v/>
      </c>
      <c r="W12" s="11">
        <f>INT(V12/参数!$B$18)</f>
        <v/>
      </c>
      <c r="X12" s="11">
        <f>J12*C12</f>
        <v/>
      </c>
      <c r="Y12" s="11">
        <f>参数!$B$20+参数!$B$21*(A12-1)</f>
        <v/>
      </c>
      <c r="Z12" s="13">
        <f>MIN(1,X12/Y12)</f>
        <v/>
      </c>
      <c r="AA12" s="14">
        <f>参数!$B$22+(1-参数!$B$22)*Z12</f>
        <v/>
      </c>
      <c r="AB12" s="11">
        <f>参数!$B$9*(1+参数!$B$19*W11)*AA11</f>
        <v/>
      </c>
      <c r="AC12" s="11">
        <f>AF11+AB12</f>
        <v/>
      </c>
      <c r="AD12" s="11">
        <f>MIN(AC12,参数!$B$7)</f>
        <v/>
      </c>
      <c r="AE12" s="11">
        <f>AD12/参数!$B$6</f>
        <v/>
      </c>
      <c r="AF12" s="11">
        <f>AC12-AD12</f>
        <v/>
      </c>
      <c r="AG12" s="11">
        <f>X12*G12</f>
        <v/>
      </c>
    </row>
    <row r="13">
      <c r="A13" s="11" t="n">
        <v>10</v>
      </c>
      <c r="B13" s="12" t="n">
        <v>0.2</v>
      </c>
      <c r="C13" s="12" t="n">
        <v>0.3</v>
      </c>
      <c r="D13" s="13">
        <f>1-B13-C13</f>
        <v/>
      </c>
      <c r="E13" s="11">
        <f>参数!$B$2+参数!$B$3*(A13-1)</f>
        <v/>
      </c>
      <c r="F13" s="11">
        <f>F12+AE12</f>
        <v/>
      </c>
      <c r="G13" s="14">
        <f>1+参数!$B$17*(S12-1)</f>
        <v/>
      </c>
      <c r="H13" s="11">
        <f>F13*G13</f>
        <v/>
      </c>
      <c r="I13" s="11">
        <f>E13/参数!$B$4</f>
        <v/>
      </c>
      <c r="J13" s="11">
        <f>MIN(H13,I13)</f>
        <v/>
      </c>
      <c r="K13" s="15">
        <f>IF(I13&lt;H13,"⚡受限","")</f>
        <v/>
      </c>
      <c r="L13" s="11">
        <f>J13*B13</f>
        <v/>
      </c>
      <c r="M13" s="11">
        <f>参数!$B$10*参数!$B$11*(1+参数!$B$19*W12)*AA12</f>
        <v/>
      </c>
      <c r="N13" s="11">
        <f>T12+M13</f>
        <v/>
      </c>
      <c r="O13" s="11">
        <f>L13*参数!$B$13</f>
        <v/>
      </c>
      <c r="P13" s="13">
        <f>IF(O13=0,1,MIN(1,N13/O13))</f>
        <v/>
      </c>
      <c r="Q13" s="11">
        <f>L13*P13</f>
        <v/>
      </c>
      <c r="R13" s="11">
        <f>R12+Q13</f>
        <v/>
      </c>
      <c r="S13" s="11">
        <f>1+IF(R13&gt;=参数!$B$14,1,0)+IF(R13&gt;=参数!$B$15,1,0)+IF(R13&gt;=参数!$B$16,1,0)</f>
        <v/>
      </c>
      <c r="T13" s="11">
        <f>N13-O13*P13</f>
        <v/>
      </c>
      <c r="U13" s="11">
        <f>J13*D13</f>
        <v/>
      </c>
      <c r="V13" s="11">
        <f>V12+U13</f>
        <v/>
      </c>
      <c r="W13" s="11">
        <f>INT(V13/参数!$B$18)</f>
        <v/>
      </c>
      <c r="X13" s="11">
        <f>J13*C13</f>
        <v/>
      </c>
      <c r="Y13" s="11">
        <f>参数!$B$20+参数!$B$21*(A13-1)</f>
        <v/>
      </c>
      <c r="Z13" s="13">
        <f>MIN(1,X13/Y13)</f>
        <v/>
      </c>
      <c r="AA13" s="14">
        <f>参数!$B$22+(1-参数!$B$22)*Z13</f>
        <v/>
      </c>
      <c r="AB13" s="11">
        <f>参数!$B$9*(1+参数!$B$19*W12)*AA12</f>
        <v/>
      </c>
      <c r="AC13" s="11">
        <f>AF12+AB13</f>
        <v/>
      </c>
      <c r="AD13" s="11">
        <f>MIN(AC13,参数!$B$7)</f>
        <v/>
      </c>
      <c r="AE13" s="11">
        <f>AD13/参数!$B$6</f>
        <v/>
      </c>
      <c r="AF13" s="11">
        <f>AC13-AD13</f>
        <v/>
      </c>
      <c r="AG13" s="11">
        <f>X13*G13</f>
        <v/>
      </c>
    </row>
    <row r="14">
      <c r="A14" s="11" t="n">
        <v>11</v>
      </c>
      <c r="B14" s="12" t="n">
        <v>0.2</v>
      </c>
      <c r="C14" s="12" t="n">
        <v>0.3</v>
      </c>
      <c r="D14" s="13">
        <f>1-B14-C14</f>
        <v/>
      </c>
      <c r="E14" s="11">
        <f>参数!$B$2+参数!$B$3*(A14-1)</f>
        <v/>
      </c>
      <c r="F14" s="11">
        <f>F13+AE13</f>
        <v/>
      </c>
      <c r="G14" s="14">
        <f>1+参数!$B$17*(S13-1)</f>
        <v/>
      </c>
      <c r="H14" s="11">
        <f>F14*G14</f>
        <v/>
      </c>
      <c r="I14" s="11">
        <f>E14/参数!$B$4</f>
        <v/>
      </c>
      <c r="J14" s="11">
        <f>MIN(H14,I14)</f>
        <v/>
      </c>
      <c r="K14" s="15">
        <f>IF(I14&lt;H14,"⚡受限","")</f>
        <v/>
      </c>
      <c r="L14" s="11">
        <f>J14*B14</f>
        <v/>
      </c>
      <c r="M14" s="11">
        <f>参数!$B$10*参数!$B$11*(1+参数!$B$19*W13)*AA13</f>
        <v/>
      </c>
      <c r="N14" s="11">
        <f>T13+M14</f>
        <v/>
      </c>
      <c r="O14" s="11">
        <f>L14*参数!$B$13</f>
        <v/>
      </c>
      <c r="P14" s="13">
        <f>IF(O14=0,1,MIN(1,N14/O14))</f>
        <v/>
      </c>
      <c r="Q14" s="11">
        <f>L14*P14</f>
        <v/>
      </c>
      <c r="R14" s="11">
        <f>R13+Q14</f>
        <v/>
      </c>
      <c r="S14" s="11">
        <f>1+IF(R14&gt;=参数!$B$14,1,0)+IF(R14&gt;=参数!$B$15,1,0)+IF(R14&gt;=参数!$B$16,1,0)</f>
        <v/>
      </c>
      <c r="T14" s="11">
        <f>N14-O14*P14</f>
        <v/>
      </c>
      <c r="U14" s="11">
        <f>J14*D14</f>
        <v/>
      </c>
      <c r="V14" s="11">
        <f>V13+U14</f>
        <v/>
      </c>
      <c r="W14" s="11">
        <f>INT(V14/参数!$B$18)</f>
        <v/>
      </c>
      <c r="X14" s="11">
        <f>J14*C14</f>
        <v/>
      </c>
      <c r="Y14" s="11">
        <f>参数!$B$20+参数!$B$21*(A14-1)</f>
        <v/>
      </c>
      <c r="Z14" s="13">
        <f>MIN(1,X14/Y14)</f>
        <v/>
      </c>
      <c r="AA14" s="14">
        <f>参数!$B$22+(1-参数!$B$22)*Z14</f>
        <v/>
      </c>
      <c r="AB14" s="11">
        <f>参数!$B$9*(1+参数!$B$19*W13)*AA13</f>
        <v/>
      </c>
      <c r="AC14" s="11">
        <f>AF13+AB14</f>
        <v/>
      </c>
      <c r="AD14" s="11">
        <f>MIN(AC14,参数!$B$7)</f>
        <v/>
      </c>
      <c r="AE14" s="11">
        <f>AD14/参数!$B$6</f>
        <v/>
      </c>
      <c r="AF14" s="11">
        <f>AC14-AD14</f>
        <v/>
      </c>
      <c r="AG14" s="11">
        <f>X14*G14</f>
        <v/>
      </c>
    </row>
    <row r="15">
      <c r="A15" s="11" t="n">
        <v>12</v>
      </c>
      <c r="B15" s="12" t="n">
        <v>0.2</v>
      </c>
      <c r="C15" s="12" t="n">
        <v>0.3</v>
      </c>
      <c r="D15" s="13">
        <f>1-B15-C15</f>
        <v/>
      </c>
      <c r="E15" s="11">
        <f>参数!$B$2+参数!$B$3*(A15-1)</f>
        <v/>
      </c>
      <c r="F15" s="11">
        <f>F14+AE14</f>
        <v/>
      </c>
      <c r="G15" s="14">
        <f>1+参数!$B$17*(S14-1)</f>
        <v/>
      </c>
      <c r="H15" s="11">
        <f>F15*G15</f>
        <v/>
      </c>
      <c r="I15" s="11">
        <f>E15/参数!$B$4</f>
        <v/>
      </c>
      <c r="J15" s="11">
        <f>MIN(H15,I15)</f>
        <v/>
      </c>
      <c r="K15" s="15">
        <f>IF(I15&lt;H15,"⚡受限","")</f>
        <v/>
      </c>
      <c r="L15" s="11">
        <f>J15*B15</f>
        <v/>
      </c>
      <c r="M15" s="11">
        <f>参数!$B$10*参数!$B$11*(1+参数!$B$19*W14)*AA14</f>
        <v/>
      </c>
      <c r="N15" s="11">
        <f>T14+M15</f>
        <v/>
      </c>
      <c r="O15" s="11">
        <f>L15*参数!$B$13</f>
        <v/>
      </c>
      <c r="P15" s="13">
        <f>IF(O15=0,1,MIN(1,N15/O15))</f>
        <v/>
      </c>
      <c r="Q15" s="11">
        <f>L15*P15</f>
        <v/>
      </c>
      <c r="R15" s="11">
        <f>R14+Q15</f>
        <v/>
      </c>
      <c r="S15" s="11">
        <f>1+IF(R15&gt;=参数!$B$14,1,0)+IF(R15&gt;=参数!$B$15,1,0)+IF(R15&gt;=参数!$B$16,1,0)</f>
        <v/>
      </c>
      <c r="T15" s="11">
        <f>N15-O15*P15</f>
        <v/>
      </c>
      <c r="U15" s="11">
        <f>J15*D15</f>
        <v/>
      </c>
      <c r="V15" s="11">
        <f>V14+U15</f>
        <v/>
      </c>
      <c r="W15" s="11">
        <f>INT(V15/参数!$B$18)</f>
        <v/>
      </c>
      <c r="X15" s="11">
        <f>J15*C15</f>
        <v/>
      </c>
      <c r="Y15" s="11">
        <f>参数!$B$20+参数!$B$21*(A15-1)</f>
        <v/>
      </c>
      <c r="Z15" s="13">
        <f>MIN(1,X15/Y15)</f>
        <v/>
      </c>
      <c r="AA15" s="14">
        <f>参数!$B$22+(1-参数!$B$22)*Z15</f>
        <v/>
      </c>
      <c r="AB15" s="11">
        <f>参数!$B$9*(1+参数!$B$19*W14)*AA14</f>
        <v/>
      </c>
      <c r="AC15" s="11">
        <f>AF14+AB15</f>
        <v/>
      </c>
      <c r="AD15" s="11">
        <f>MIN(AC15,参数!$B$7)</f>
        <v/>
      </c>
      <c r="AE15" s="11">
        <f>AD15/参数!$B$6</f>
        <v/>
      </c>
      <c r="AF15" s="11">
        <f>AC15-AD15</f>
        <v/>
      </c>
      <c r="AG15" s="11">
        <f>X15*G15</f>
        <v/>
      </c>
    </row>
    <row r="16">
      <c r="A16" s="11" t="n">
        <v>13</v>
      </c>
      <c r="B16" s="12" t="n">
        <v>0.2</v>
      </c>
      <c r="C16" s="12" t="n">
        <v>0.3</v>
      </c>
      <c r="D16" s="13">
        <f>1-B16-C16</f>
        <v/>
      </c>
      <c r="E16" s="11">
        <f>参数!$B$2+参数!$B$3*(A16-1)</f>
        <v/>
      </c>
      <c r="F16" s="11">
        <f>F15+AE15</f>
        <v/>
      </c>
      <c r="G16" s="14">
        <f>1+参数!$B$17*(S15-1)</f>
        <v/>
      </c>
      <c r="H16" s="11">
        <f>F16*G16</f>
        <v/>
      </c>
      <c r="I16" s="11">
        <f>E16/参数!$B$4</f>
        <v/>
      </c>
      <c r="J16" s="11">
        <f>MIN(H16,I16)</f>
        <v/>
      </c>
      <c r="K16" s="15">
        <f>IF(I16&lt;H16,"⚡受限","")</f>
        <v/>
      </c>
      <c r="L16" s="11">
        <f>J16*B16</f>
        <v/>
      </c>
      <c r="M16" s="11">
        <f>参数!$B$10*参数!$B$11*(1+参数!$B$19*W15)*AA15</f>
        <v/>
      </c>
      <c r="N16" s="11">
        <f>T15+M16</f>
        <v/>
      </c>
      <c r="O16" s="11">
        <f>L16*参数!$B$13</f>
        <v/>
      </c>
      <c r="P16" s="13">
        <f>IF(O16=0,1,MIN(1,N16/O16))</f>
        <v/>
      </c>
      <c r="Q16" s="11">
        <f>L16*P16</f>
        <v/>
      </c>
      <c r="R16" s="11">
        <f>R15+Q16</f>
        <v/>
      </c>
      <c r="S16" s="11">
        <f>1+IF(R16&gt;=参数!$B$14,1,0)+IF(R16&gt;=参数!$B$15,1,0)+IF(R16&gt;=参数!$B$16,1,0)</f>
        <v/>
      </c>
      <c r="T16" s="11">
        <f>N16-O16*P16</f>
        <v/>
      </c>
      <c r="U16" s="11">
        <f>J16*D16</f>
        <v/>
      </c>
      <c r="V16" s="11">
        <f>V15+U16</f>
        <v/>
      </c>
      <c r="W16" s="11">
        <f>INT(V16/参数!$B$18)</f>
        <v/>
      </c>
      <c r="X16" s="11">
        <f>J16*C16</f>
        <v/>
      </c>
      <c r="Y16" s="11">
        <f>参数!$B$20+参数!$B$21*(A16-1)</f>
        <v/>
      </c>
      <c r="Z16" s="13">
        <f>MIN(1,X16/Y16)</f>
        <v/>
      </c>
      <c r="AA16" s="14">
        <f>参数!$B$22+(1-参数!$B$22)*Z16</f>
        <v/>
      </c>
      <c r="AB16" s="11">
        <f>参数!$B$9*(1+参数!$B$19*W15)*AA15</f>
        <v/>
      </c>
      <c r="AC16" s="11">
        <f>AF15+AB16</f>
        <v/>
      </c>
      <c r="AD16" s="11">
        <f>MIN(AC16,参数!$B$7)</f>
        <v/>
      </c>
      <c r="AE16" s="11">
        <f>AD16/参数!$B$6</f>
        <v/>
      </c>
      <c r="AF16" s="11">
        <f>AC16-AD16</f>
        <v/>
      </c>
      <c r="AG16" s="11">
        <f>X16*G16</f>
        <v/>
      </c>
    </row>
    <row r="17">
      <c r="A17" s="11" t="n">
        <v>14</v>
      </c>
      <c r="B17" s="12" t="n">
        <v>0.2</v>
      </c>
      <c r="C17" s="12" t="n">
        <v>0.3</v>
      </c>
      <c r="D17" s="13">
        <f>1-B17-C17</f>
        <v/>
      </c>
      <c r="E17" s="11">
        <f>参数!$B$2+参数!$B$3*(A17-1)</f>
        <v/>
      </c>
      <c r="F17" s="11">
        <f>F16+AE16</f>
        <v/>
      </c>
      <c r="G17" s="14">
        <f>1+参数!$B$17*(S16-1)</f>
        <v/>
      </c>
      <c r="H17" s="11">
        <f>F17*G17</f>
        <v/>
      </c>
      <c r="I17" s="11">
        <f>E17/参数!$B$4</f>
        <v/>
      </c>
      <c r="J17" s="11">
        <f>MIN(H17,I17)</f>
        <v/>
      </c>
      <c r="K17" s="15">
        <f>IF(I17&lt;H17,"⚡受限","")</f>
        <v/>
      </c>
      <c r="L17" s="11">
        <f>J17*B17</f>
        <v/>
      </c>
      <c r="M17" s="11">
        <f>参数!$B$10*参数!$B$11*(1+参数!$B$19*W16)*AA16</f>
        <v/>
      </c>
      <c r="N17" s="11">
        <f>T16+M17</f>
        <v/>
      </c>
      <c r="O17" s="11">
        <f>L17*参数!$B$13</f>
        <v/>
      </c>
      <c r="P17" s="13">
        <f>IF(O17=0,1,MIN(1,N17/O17))</f>
        <v/>
      </c>
      <c r="Q17" s="11">
        <f>L17*P17</f>
        <v/>
      </c>
      <c r="R17" s="11">
        <f>R16+Q17</f>
        <v/>
      </c>
      <c r="S17" s="11">
        <f>1+IF(R17&gt;=参数!$B$14,1,0)+IF(R17&gt;=参数!$B$15,1,0)+IF(R17&gt;=参数!$B$16,1,0)</f>
        <v/>
      </c>
      <c r="T17" s="11">
        <f>N17-O17*P17</f>
        <v/>
      </c>
      <c r="U17" s="11">
        <f>J17*D17</f>
        <v/>
      </c>
      <c r="V17" s="11">
        <f>V16+U17</f>
        <v/>
      </c>
      <c r="W17" s="11">
        <f>INT(V17/参数!$B$18)</f>
        <v/>
      </c>
      <c r="X17" s="11">
        <f>J17*C17</f>
        <v/>
      </c>
      <c r="Y17" s="11">
        <f>参数!$B$20+参数!$B$21*(A17-1)</f>
        <v/>
      </c>
      <c r="Z17" s="13">
        <f>MIN(1,X17/Y17)</f>
        <v/>
      </c>
      <c r="AA17" s="14">
        <f>参数!$B$22+(1-参数!$B$22)*Z17</f>
        <v/>
      </c>
      <c r="AB17" s="11">
        <f>参数!$B$9*(1+参数!$B$19*W16)*AA16</f>
        <v/>
      </c>
      <c r="AC17" s="11">
        <f>AF16+AB17</f>
        <v/>
      </c>
      <c r="AD17" s="11">
        <f>MIN(AC17,参数!$B$7)</f>
        <v/>
      </c>
      <c r="AE17" s="11">
        <f>AD17/参数!$B$6</f>
        <v/>
      </c>
      <c r="AF17" s="11">
        <f>AC17-AD17</f>
        <v/>
      </c>
      <c r="AG17" s="11">
        <f>X17*G17</f>
        <v/>
      </c>
    </row>
    <row r="18">
      <c r="A18" s="11" t="n">
        <v>15</v>
      </c>
      <c r="B18" s="12" t="n">
        <v>0.2</v>
      </c>
      <c r="C18" s="12" t="n">
        <v>0.3</v>
      </c>
      <c r="D18" s="13">
        <f>1-B18-C18</f>
        <v/>
      </c>
      <c r="E18" s="11">
        <f>参数!$B$2+参数!$B$3*(A18-1)</f>
        <v/>
      </c>
      <c r="F18" s="11">
        <f>F17+AE17</f>
        <v/>
      </c>
      <c r="G18" s="14">
        <f>1+参数!$B$17*(S17-1)</f>
        <v/>
      </c>
      <c r="H18" s="11">
        <f>F18*G18</f>
        <v/>
      </c>
      <c r="I18" s="11">
        <f>E18/参数!$B$4</f>
        <v/>
      </c>
      <c r="J18" s="11">
        <f>MIN(H18,I18)</f>
        <v/>
      </c>
      <c r="K18" s="15">
        <f>IF(I18&lt;H18,"⚡受限","")</f>
        <v/>
      </c>
      <c r="L18" s="11">
        <f>J18*B18</f>
        <v/>
      </c>
      <c r="M18" s="11">
        <f>参数!$B$10*参数!$B$11*(1+参数!$B$19*W17)*AA17</f>
        <v/>
      </c>
      <c r="N18" s="11">
        <f>T17+M18</f>
        <v/>
      </c>
      <c r="O18" s="11">
        <f>L18*参数!$B$13</f>
        <v/>
      </c>
      <c r="P18" s="13">
        <f>IF(O18=0,1,MIN(1,N18/O18))</f>
        <v/>
      </c>
      <c r="Q18" s="11">
        <f>L18*P18</f>
        <v/>
      </c>
      <c r="R18" s="11">
        <f>R17+Q18</f>
        <v/>
      </c>
      <c r="S18" s="11">
        <f>1+IF(R18&gt;=参数!$B$14,1,0)+IF(R18&gt;=参数!$B$15,1,0)+IF(R18&gt;=参数!$B$16,1,0)</f>
        <v/>
      </c>
      <c r="T18" s="11">
        <f>N18-O18*P18</f>
        <v/>
      </c>
      <c r="U18" s="11">
        <f>J18*D18</f>
        <v/>
      </c>
      <c r="V18" s="11">
        <f>V17+U18</f>
        <v/>
      </c>
      <c r="W18" s="11">
        <f>INT(V18/参数!$B$18)</f>
        <v/>
      </c>
      <c r="X18" s="11">
        <f>J18*C18</f>
        <v/>
      </c>
      <c r="Y18" s="11">
        <f>参数!$B$20+参数!$B$21*(A18-1)</f>
        <v/>
      </c>
      <c r="Z18" s="13">
        <f>MIN(1,X18/Y18)</f>
        <v/>
      </c>
      <c r="AA18" s="14">
        <f>参数!$B$22+(1-参数!$B$22)*Z18</f>
        <v/>
      </c>
      <c r="AB18" s="11">
        <f>参数!$B$9*(1+参数!$B$19*W17)*AA17</f>
        <v/>
      </c>
      <c r="AC18" s="11">
        <f>AF17+AB18</f>
        <v/>
      </c>
      <c r="AD18" s="11">
        <f>MIN(AC18,参数!$B$7)</f>
        <v/>
      </c>
      <c r="AE18" s="11">
        <f>AD18/参数!$B$6</f>
        <v/>
      </c>
      <c r="AF18" s="11">
        <f>AC18-AD18</f>
        <v/>
      </c>
      <c r="AG18" s="11">
        <f>X18*G18</f>
        <v/>
      </c>
    </row>
    <row r="19">
      <c r="A19" s="11" t="n">
        <v>16</v>
      </c>
      <c r="B19" s="12" t="n">
        <v>0.2</v>
      </c>
      <c r="C19" s="12" t="n">
        <v>0.3</v>
      </c>
      <c r="D19" s="13">
        <f>1-B19-C19</f>
        <v/>
      </c>
      <c r="E19" s="11">
        <f>参数!$B$2+参数!$B$3*(A19-1)</f>
        <v/>
      </c>
      <c r="F19" s="11">
        <f>F18+AE18</f>
        <v/>
      </c>
      <c r="G19" s="14">
        <f>1+参数!$B$17*(S18-1)</f>
        <v/>
      </c>
      <c r="H19" s="11">
        <f>F19*G19</f>
        <v/>
      </c>
      <c r="I19" s="11">
        <f>E19/参数!$B$4</f>
        <v/>
      </c>
      <c r="J19" s="11">
        <f>MIN(H19,I19)</f>
        <v/>
      </c>
      <c r="K19" s="15">
        <f>IF(I19&lt;H19,"⚡受限","")</f>
        <v/>
      </c>
      <c r="L19" s="11">
        <f>J19*B19</f>
        <v/>
      </c>
      <c r="M19" s="11">
        <f>参数!$B$10*参数!$B$11*(1+参数!$B$19*W18)*AA18</f>
        <v/>
      </c>
      <c r="N19" s="11">
        <f>T18+M19</f>
        <v/>
      </c>
      <c r="O19" s="11">
        <f>L19*参数!$B$13</f>
        <v/>
      </c>
      <c r="P19" s="13">
        <f>IF(O19=0,1,MIN(1,N19/O19))</f>
        <v/>
      </c>
      <c r="Q19" s="11">
        <f>L19*P19</f>
        <v/>
      </c>
      <c r="R19" s="11">
        <f>R18+Q19</f>
        <v/>
      </c>
      <c r="S19" s="11">
        <f>1+IF(R19&gt;=参数!$B$14,1,0)+IF(R19&gt;=参数!$B$15,1,0)+IF(R19&gt;=参数!$B$16,1,0)</f>
        <v/>
      </c>
      <c r="T19" s="11">
        <f>N19-O19*P19</f>
        <v/>
      </c>
      <c r="U19" s="11">
        <f>J19*D19</f>
        <v/>
      </c>
      <c r="V19" s="11">
        <f>V18+U19</f>
        <v/>
      </c>
      <c r="W19" s="11">
        <f>INT(V19/参数!$B$18)</f>
        <v/>
      </c>
      <c r="X19" s="11">
        <f>J19*C19</f>
        <v/>
      </c>
      <c r="Y19" s="11">
        <f>参数!$B$20+参数!$B$21*(A19-1)</f>
        <v/>
      </c>
      <c r="Z19" s="13">
        <f>MIN(1,X19/Y19)</f>
        <v/>
      </c>
      <c r="AA19" s="14">
        <f>参数!$B$22+(1-参数!$B$22)*Z19</f>
        <v/>
      </c>
      <c r="AB19" s="11">
        <f>参数!$B$9*(1+参数!$B$19*W18)*AA18</f>
        <v/>
      </c>
      <c r="AC19" s="11">
        <f>AF18+AB19</f>
        <v/>
      </c>
      <c r="AD19" s="11">
        <f>MIN(AC19,参数!$B$7)</f>
        <v/>
      </c>
      <c r="AE19" s="11">
        <f>AD19/参数!$B$6</f>
        <v/>
      </c>
      <c r="AF19" s="11">
        <f>AC19-AD19</f>
        <v/>
      </c>
      <c r="AG19" s="11">
        <f>X19*G19</f>
        <v/>
      </c>
    </row>
    <row r="20">
      <c r="A20" s="11" t="n">
        <v>17</v>
      </c>
      <c r="B20" s="12" t="n">
        <v>0.2</v>
      </c>
      <c r="C20" s="12" t="n">
        <v>0.3</v>
      </c>
      <c r="D20" s="13">
        <f>1-B20-C20</f>
        <v/>
      </c>
      <c r="E20" s="11">
        <f>参数!$B$2+参数!$B$3*(A20-1)</f>
        <v/>
      </c>
      <c r="F20" s="11">
        <f>F19+AE19</f>
        <v/>
      </c>
      <c r="G20" s="14">
        <f>1+参数!$B$17*(S19-1)</f>
        <v/>
      </c>
      <c r="H20" s="11">
        <f>F20*G20</f>
        <v/>
      </c>
      <c r="I20" s="11">
        <f>E20/参数!$B$4</f>
        <v/>
      </c>
      <c r="J20" s="11">
        <f>MIN(H20,I20)</f>
        <v/>
      </c>
      <c r="K20" s="15">
        <f>IF(I20&lt;H20,"⚡受限","")</f>
        <v/>
      </c>
      <c r="L20" s="11">
        <f>J20*B20</f>
        <v/>
      </c>
      <c r="M20" s="11">
        <f>参数!$B$10*参数!$B$11*(1+参数!$B$19*W19)*AA19</f>
        <v/>
      </c>
      <c r="N20" s="11">
        <f>T19+M20</f>
        <v/>
      </c>
      <c r="O20" s="11">
        <f>L20*参数!$B$13</f>
        <v/>
      </c>
      <c r="P20" s="13">
        <f>IF(O20=0,1,MIN(1,N20/O20))</f>
        <v/>
      </c>
      <c r="Q20" s="11">
        <f>L20*P20</f>
        <v/>
      </c>
      <c r="R20" s="11">
        <f>R19+Q20</f>
        <v/>
      </c>
      <c r="S20" s="11">
        <f>1+IF(R20&gt;=参数!$B$14,1,0)+IF(R20&gt;=参数!$B$15,1,0)+IF(R20&gt;=参数!$B$16,1,0)</f>
        <v/>
      </c>
      <c r="T20" s="11">
        <f>N20-O20*P20</f>
        <v/>
      </c>
      <c r="U20" s="11">
        <f>J20*D20</f>
        <v/>
      </c>
      <c r="V20" s="11">
        <f>V19+U20</f>
        <v/>
      </c>
      <c r="W20" s="11">
        <f>INT(V20/参数!$B$18)</f>
        <v/>
      </c>
      <c r="X20" s="11">
        <f>J20*C20</f>
        <v/>
      </c>
      <c r="Y20" s="11">
        <f>参数!$B$20+参数!$B$21*(A20-1)</f>
        <v/>
      </c>
      <c r="Z20" s="13">
        <f>MIN(1,X20/Y20)</f>
        <v/>
      </c>
      <c r="AA20" s="14">
        <f>参数!$B$22+(1-参数!$B$22)*Z20</f>
        <v/>
      </c>
      <c r="AB20" s="11">
        <f>参数!$B$9*(1+参数!$B$19*W19)*AA19</f>
        <v/>
      </c>
      <c r="AC20" s="11">
        <f>AF19+AB20</f>
        <v/>
      </c>
      <c r="AD20" s="11">
        <f>MIN(AC20,参数!$B$7)</f>
        <v/>
      </c>
      <c r="AE20" s="11">
        <f>AD20/参数!$B$6</f>
        <v/>
      </c>
      <c r="AF20" s="11">
        <f>AC20-AD20</f>
        <v/>
      </c>
      <c r="AG20" s="11">
        <f>X20*G20</f>
        <v/>
      </c>
    </row>
    <row r="21">
      <c r="A21" s="11" t="n">
        <v>18</v>
      </c>
      <c r="B21" s="12" t="n">
        <v>0.2</v>
      </c>
      <c r="C21" s="12" t="n">
        <v>0.3</v>
      </c>
      <c r="D21" s="13">
        <f>1-B21-C21</f>
        <v/>
      </c>
      <c r="E21" s="11">
        <f>参数!$B$2+参数!$B$3*(A21-1)</f>
        <v/>
      </c>
      <c r="F21" s="11">
        <f>F20+AE20</f>
        <v/>
      </c>
      <c r="G21" s="14">
        <f>1+参数!$B$17*(S20-1)</f>
        <v/>
      </c>
      <c r="H21" s="11">
        <f>F21*G21</f>
        <v/>
      </c>
      <c r="I21" s="11">
        <f>E21/参数!$B$4</f>
        <v/>
      </c>
      <c r="J21" s="11">
        <f>MIN(H21,I21)</f>
        <v/>
      </c>
      <c r="K21" s="15">
        <f>IF(I21&lt;H21,"⚡受限","")</f>
        <v/>
      </c>
      <c r="L21" s="11">
        <f>J21*B21</f>
        <v/>
      </c>
      <c r="M21" s="11">
        <f>参数!$B$10*参数!$B$11*(1+参数!$B$19*W20)*AA20</f>
        <v/>
      </c>
      <c r="N21" s="11">
        <f>T20+M21</f>
        <v/>
      </c>
      <c r="O21" s="11">
        <f>L21*参数!$B$13</f>
        <v/>
      </c>
      <c r="P21" s="13">
        <f>IF(O21=0,1,MIN(1,N21/O21))</f>
        <v/>
      </c>
      <c r="Q21" s="11">
        <f>L21*P21</f>
        <v/>
      </c>
      <c r="R21" s="11">
        <f>R20+Q21</f>
        <v/>
      </c>
      <c r="S21" s="11">
        <f>1+IF(R21&gt;=参数!$B$14,1,0)+IF(R21&gt;=参数!$B$15,1,0)+IF(R21&gt;=参数!$B$16,1,0)</f>
        <v/>
      </c>
      <c r="T21" s="11">
        <f>N21-O21*P21</f>
        <v/>
      </c>
      <c r="U21" s="11">
        <f>J21*D21</f>
        <v/>
      </c>
      <c r="V21" s="11">
        <f>V20+U21</f>
        <v/>
      </c>
      <c r="W21" s="11">
        <f>INT(V21/参数!$B$18)</f>
        <v/>
      </c>
      <c r="X21" s="11">
        <f>J21*C21</f>
        <v/>
      </c>
      <c r="Y21" s="11">
        <f>参数!$B$20+参数!$B$21*(A21-1)</f>
        <v/>
      </c>
      <c r="Z21" s="13">
        <f>MIN(1,X21/Y21)</f>
        <v/>
      </c>
      <c r="AA21" s="14">
        <f>参数!$B$22+(1-参数!$B$22)*Z21</f>
        <v/>
      </c>
      <c r="AB21" s="11">
        <f>参数!$B$9*(1+参数!$B$19*W20)*AA20</f>
        <v/>
      </c>
      <c r="AC21" s="11">
        <f>AF20+AB21</f>
        <v/>
      </c>
      <c r="AD21" s="11">
        <f>MIN(AC21,参数!$B$7)</f>
        <v/>
      </c>
      <c r="AE21" s="11">
        <f>AD21/参数!$B$6</f>
        <v/>
      </c>
      <c r="AF21" s="11">
        <f>AC21-AD21</f>
        <v/>
      </c>
      <c r="AG21" s="11">
        <f>X21*G21</f>
        <v/>
      </c>
    </row>
    <row r="22">
      <c r="A22" s="11" t="n">
        <v>19</v>
      </c>
      <c r="B22" s="12" t="n">
        <v>0.2</v>
      </c>
      <c r="C22" s="12" t="n">
        <v>0.3</v>
      </c>
      <c r="D22" s="13">
        <f>1-B22-C22</f>
        <v/>
      </c>
      <c r="E22" s="11">
        <f>参数!$B$2+参数!$B$3*(A22-1)</f>
        <v/>
      </c>
      <c r="F22" s="11">
        <f>F21+AE21</f>
        <v/>
      </c>
      <c r="G22" s="14">
        <f>1+参数!$B$17*(S21-1)</f>
        <v/>
      </c>
      <c r="H22" s="11">
        <f>F22*G22</f>
        <v/>
      </c>
      <c r="I22" s="11">
        <f>E22/参数!$B$4</f>
        <v/>
      </c>
      <c r="J22" s="11">
        <f>MIN(H22,I22)</f>
        <v/>
      </c>
      <c r="K22" s="15">
        <f>IF(I22&lt;H22,"⚡受限","")</f>
        <v/>
      </c>
      <c r="L22" s="11">
        <f>J22*B22</f>
        <v/>
      </c>
      <c r="M22" s="11">
        <f>参数!$B$10*参数!$B$11*(1+参数!$B$19*W21)*AA21</f>
        <v/>
      </c>
      <c r="N22" s="11">
        <f>T21+M22</f>
        <v/>
      </c>
      <c r="O22" s="11">
        <f>L22*参数!$B$13</f>
        <v/>
      </c>
      <c r="P22" s="13">
        <f>IF(O22=0,1,MIN(1,N22/O22))</f>
        <v/>
      </c>
      <c r="Q22" s="11">
        <f>L22*P22</f>
        <v/>
      </c>
      <c r="R22" s="11">
        <f>R21+Q22</f>
        <v/>
      </c>
      <c r="S22" s="11">
        <f>1+IF(R22&gt;=参数!$B$14,1,0)+IF(R22&gt;=参数!$B$15,1,0)+IF(R22&gt;=参数!$B$16,1,0)</f>
        <v/>
      </c>
      <c r="T22" s="11">
        <f>N22-O22*P22</f>
        <v/>
      </c>
      <c r="U22" s="11">
        <f>J22*D22</f>
        <v/>
      </c>
      <c r="V22" s="11">
        <f>V21+U22</f>
        <v/>
      </c>
      <c r="W22" s="11">
        <f>INT(V22/参数!$B$18)</f>
        <v/>
      </c>
      <c r="X22" s="11">
        <f>J22*C22</f>
        <v/>
      </c>
      <c r="Y22" s="11">
        <f>参数!$B$20+参数!$B$21*(A22-1)</f>
        <v/>
      </c>
      <c r="Z22" s="13">
        <f>MIN(1,X22/Y22)</f>
        <v/>
      </c>
      <c r="AA22" s="14">
        <f>参数!$B$22+(1-参数!$B$22)*Z22</f>
        <v/>
      </c>
      <c r="AB22" s="11">
        <f>参数!$B$9*(1+参数!$B$19*W21)*AA21</f>
        <v/>
      </c>
      <c r="AC22" s="11">
        <f>AF21+AB22</f>
        <v/>
      </c>
      <c r="AD22" s="11">
        <f>MIN(AC22,参数!$B$7)</f>
        <v/>
      </c>
      <c r="AE22" s="11">
        <f>AD22/参数!$B$6</f>
        <v/>
      </c>
      <c r="AF22" s="11">
        <f>AC22-AD22</f>
        <v/>
      </c>
      <c r="AG22" s="11">
        <f>X22*G22</f>
        <v/>
      </c>
    </row>
    <row r="23">
      <c r="A23" s="11" t="n">
        <v>20</v>
      </c>
      <c r="B23" s="12" t="n">
        <v>0.2</v>
      </c>
      <c r="C23" s="12" t="n">
        <v>0.3</v>
      </c>
      <c r="D23" s="13">
        <f>1-B23-C23</f>
        <v/>
      </c>
      <c r="E23" s="11">
        <f>参数!$B$2+参数!$B$3*(A23-1)</f>
        <v/>
      </c>
      <c r="F23" s="11">
        <f>F22+AE22</f>
        <v/>
      </c>
      <c r="G23" s="14">
        <f>1+参数!$B$17*(S22-1)</f>
        <v/>
      </c>
      <c r="H23" s="11">
        <f>F23*G23</f>
        <v/>
      </c>
      <c r="I23" s="11">
        <f>E23/参数!$B$4</f>
        <v/>
      </c>
      <c r="J23" s="11">
        <f>MIN(H23,I23)</f>
        <v/>
      </c>
      <c r="K23" s="15">
        <f>IF(I23&lt;H23,"⚡受限","")</f>
        <v/>
      </c>
      <c r="L23" s="11">
        <f>J23*B23</f>
        <v/>
      </c>
      <c r="M23" s="11">
        <f>参数!$B$10*参数!$B$11*(1+参数!$B$19*W22)*AA22</f>
        <v/>
      </c>
      <c r="N23" s="11">
        <f>T22+M23</f>
        <v/>
      </c>
      <c r="O23" s="11">
        <f>L23*参数!$B$13</f>
        <v/>
      </c>
      <c r="P23" s="13">
        <f>IF(O23=0,1,MIN(1,N23/O23))</f>
        <v/>
      </c>
      <c r="Q23" s="11">
        <f>L23*P23</f>
        <v/>
      </c>
      <c r="R23" s="11">
        <f>R22+Q23</f>
        <v/>
      </c>
      <c r="S23" s="11">
        <f>1+IF(R23&gt;=参数!$B$14,1,0)+IF(R23&gt;=参数!$B$15,1,0)+IF(R23&gt;=参数!$B$16,1,0)</f>
        <v/>
      </c>
      <c r="T23" s="11">
        <f>N23-O23*P23</f>
        <v/>
      </c>
      <c r="U23" s="11">
        <f>J23*D23</f>
        <v/>
      </c>
      <c r="V23" s="11">
        <f>V22+U23</f>
        <v/>
      </c>
      <c r="W23" s="11">
        <f>INT(V23/参数!$B$18)</f>
        <v/>
      </c>
      <c r="X23" s="11">
        <f>J23*C23</f>
        <v/>
      </c>
      <c r="Y23" s="11">
        <f>参数!$B$20+参数!$B$21*(A23-1)</f>
        <v/>
      </c>
      <c r="Z23" s="13">
        <f>MIN(1,X23/Y23)</f>
        <v/>
      </c>
      <c r="AA23" s="14">
        <f>参数!$B$22+(1-参数!$B$22)*Z23</f>
        <v/>
      </c>
      <c r="AB23" s="11">
        <f>参数!$B$9*(1+参数!$B$19*W22)*AA22</f>
        <v/>
      </c>
      <c r="AC23" s="11">
        <f>AF22+AB23</f>
        <v/>
      </c>
      <c r="AD23" s="11">
        <f>MIN(AC23,参数!$B$7)</f>
        <v/>
      </c>
      <c r="AE23" s="11">
        <f>AD23/参数!$B$6</f>
        <v/>
      </c>
      <c r="AF23" s="11">
        <f>AC23-AD23</f>
        <v/>
      </c>
      <c r="AG23" s="11">
        <f>X23*G23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6" t="inlineStr">
        <is>
          <t>四种分配策略 · 20 回合对比</t>
        </is>
      </c>
    </row>
    <row r="3" ht="30" customHeight="1">
      <c r="A3" s="4" t="inlineStr">
        <is>
          <t>情景</t>
        </is>
      </c>
      <c r="B3" s="4" t="inlineStr">
        <is>
          <t>训练%</t>
        </is>
      </c>
      <c r="C3" s="4" t="inlineStr">
        <is>
          <t>推理%</t>
        </is>
      </c>
      <c r="D3" s="4" t="inlineStr">
        <is>
          <t>研发%</t>
        </is>
      </c>
      <c r="E3" s="4" t="inlineStr">
        <is>
          <t>期末
代际</t>
        </is>
      </c>
      <c r="F3" s="4" t="inlineStr">
        <is>
          <t>Gen2
达成回合</t>
        </is>
      </c>
      <c r="G3" s="4" t="inlineStr">
        <is>
          <t>Gen3
达成回合</t>
        </is>
      </c>
      <c r="H3" s="4" t="inlineStr">
        <is>
          <t>期末
实际算力</t>
        </is>
      </c>
      <c r="I3" s="4" t="inlineStr">
        <is>
          <t>期末
军力指数</t>
        </is>
      </c>
      <c r="J3" s="4" t="inlineStr">
        <is>
          <t>期末
科技等级</t>
        </is>
      </c>
      <c r="K3" s="4" t="inlineStr">
        <is>
          <t>期末
经济系数</t>
        </is>
      </c>
      <c r="L3" s="4" t="inlineStr">
        <is>
          <t>数据满足率
(末5回合)</t>
        </is>
      </c>
    </row>
    <row r="4">
      <c r="A4" s="15" t="inlineStr">
        <is>
          <t>A均衡</t>
        </is>
      </c>
      <c r="B4" s="17">
        <f>'情景A均衡'!B4</f>
        <v/>
      </c>
      <c r="C4" s="17">
        <f>'情景A均衡'!C4</f>
        <v/>
      </c>
      <c r="D4" s="17">
        <f>'情景A均衡'!D4</f>
        <v/>
      </c>
      <c r="E4" s="18">
        <f>'情景A均衡'!S23</f>
        <v/>
      </c>
      <c r="F4" s="18">
        <f>IFERROR(MATCH(2,'情景A均衡'!S4:S23,0),"—")</f>
        <v/>
      </c>
      <c r="G4" s="18">
        <f>IFERROR(MATCH(3,'情景A均衡'!S4:S23,0),"—")</f>
        <v/>
      </c>
      <c r="H4" s="18">
        <f>'情景A均衡'!J23</f>
        <v/>
      </c>
      <c r="I4" s="18">
        <f>'情景A均衡'!AG23</f>
        <v/>
      </c>
      <c r="J4" s="18">
        <f>'情景A均衡'!W23</f>
        <v/>
      </c>
      <c r="K4" s="19">
        <f>'情景A均衡'!AA23</f>
        <v/>
      </c>
      <c r="L4" s="17">
        <f>AVERAGE('情景A均衡'!P19:P23)</f>
        <v/>
      </c>
    </row>
    <row r="5">
      <c r="A5" s="15" t="inlineStr">
        <is>
          <t>B奇点</t>
        </is>
      </c>
      <c r="B5" s="17">
        <f>'情景B奇点'!B4</f>
        <v/>
      </c>
      <c r="C5" s="17">
        <f>'情景B奇点'!C4</f>
        <v/>
      </c>
      <c r="D5" s="17">
        <f>'情景B奇点'!D4</f>
        <v/>
      </c>
      <c r="E5" s="18">
        <f>'情景B奇点'!S23</f>
        <v/>
      </c>
      <c r="F5" s="18">
        <f>IFERROR(MATCH(2,'情景B奇点'!S4:S23,0),"—")</f>
        <v/>
      </c>
      <c r="G5" s="18">
        <f>IFERROR(MATCH(3,'情景B奇点'!S4:S23,0),"—")</f>
        <v/>
      </c>
      <c r="H5" s="18">
        <f>'情景B奇点'!J23</f>
        <v/>
      </c>
      <c r="I5" s="18">
        <f>'情景B奇点'!AG23</f>
        <v/>
      </c>
      <c r="J5" s="18">
        <f>'情景B奇点'!W23</f>
        <v/>
      </c>
      <c r="K5" s="19">
        <f>'情景B奇点'!AA23</f>
        <v/>
      </c>
      <c r="L5" s="17">
        <f>AVERAGE('情景B奇点'!P19:P23)</f>
        <v/>
      </c>
    </row>
    <row r="6">
      <c r="A6" s="15" t="inlineStr">
        <is>
          <t>C军备</t>
        </is>
      </c>
      <c r="B6" s="17">
        <f>'情景C军备'!B4</f>
        <v/>
      </c>
      <c r="C6" s="17">
        <f>'情景C军备'!C4</f>
        <v/>
      </c>
      <c r="D6" s="17">
        <f>'情景C军备'!D4</f>
        <v/>
      </c>
      <c r="E6" s="18">
        <f>'情景C军备'!S23</f>
        <v/>
      </c>
      <c r="F6" s="18">
        <f>IFERROR(MATCH(2,'情景C军备'!S4:S23,0),"—")</f>
        <v/>
      </c>
      <c r="G6" s="18">
        <f>IFERROR(MATCH(3,'情景C军备'!S4:S23,0),"—")</f>
        <v/>
      </c>
      <c r="H6" s="18">
        <f>'情景C军备'!J23</f>
        <v/>
      </c>
      <c r="I6" s="18">
        <f>'情景C军备'!AG23</f>
        <v/>
      </c>
      <c r="J6" s="18">
        <f>'情景C军备'!W23</f>
        <v/>
      </c>
      <c r="K6" s="19">
        <f>'情景C军备'!AA23</f>
        <v/>
      </c>
      <c r="L6" s="17">
        <f>AVERAGE('情景C军备'!P19:P23)</f>
        <v/>
      </c>
    </row>
    <row r="7">
      <c r="A7" s="15" t="inlineStr">
        <is>
          <t>D科研</t>
        </is>
      </c>
      <c r="B7" s="17">
        <f>'情景D科研'!B4</f>
        <v/>
      </c>
      <c r="C7" s="17">
        <f>'情景D科研'!C4</f>
        <v/>
      </c>
      <c r="D7" s="17">
        <f>'情景D科研'!D4</f>
        <v/>
      </c>
      <c r="E7" s="18">
        <f>'情景D科研'!S23</f>
        <v/>
      </c>
      <c r="F7" s="18">
        <f>IFERROR(MATCH(2,'情景D科研'!S4:S23,0),"—")</f>
        <v/>
      </c>
      <c r="G7" s="18">
        <f>IFERROR(MATCH(3,'情景D科研'!S4:S23,0),"—")</f>
        <v/>
      </c>
      <c r="H7" s="18">
        <f>'情景D科研'!J23</f>
        <v/>
      </c>
      <c r="I7" s="18">
        <f>'情景D科研'!AG23</f>
        <v/>
      </c>
      <c r="J7" s="18">
        <f>'情景D科研'!W23</f>
        <v/>
      </c>
      <c r="K7" s="19">
        <f>'情景D科研'!AA23</f>
        <v/>
      </c>
      <c r="L7" s="17">
        <f>AVERAGE('情景D科研'!P19:P23)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2026-06-10T06:42:25Z</dcterms:created>
  <dcterms:modified xmlns:dcterms="http://purl.org/dc/terms/" xmlns:xsi="http://www.w3.org/2001/XMLSchema-instance" xsi:type="dcterms:W3CDTF">2026-06-10T06:42:25Z</dcterms:modified>
</cp:coreProperties>
</file>